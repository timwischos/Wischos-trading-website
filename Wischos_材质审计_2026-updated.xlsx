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📦 单品 SKU 审计" sheetId="1" state="visible" r:id="rId3"/>
    <sheet name="🎁 套件级审计" sheetId="2" state="visible" r:id="rId4"/>
    <sheet name="📋 修正待办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<sst xmlns="http://schemas.openxmlformats.org/spreadsheetml/2006/main" count="326" uniqueCount="280">
  <si>
    <r>
      <rPr>
        <b val="true"/>
        <sz val="14"/>
        <color rgb="FFB87333"/>
        <rFont val="DejaVu Sans"/>
        <family val="2"/>
      </rPr>
      <t xml:space="preserve">单品 </t>
    </r>
    <r>
      <rPr>
        <b val="true"/>
        <sz val="14"/>
        <color rgb="FFB87333"/>
        <rFont val="DejaVu Sans"/>
        <family val="2"/>
        <charset val="1"/>
      </rPr>
      <t xml:space="preserve">SKU </t>
    </r>
    <r>
      <rPr>
        <b val="true"/>
        <sz val="14"/>
        <color rgb="FFB87333"/>
        <rFont val="DejaVu Sans"/>
        <family val="2"/>
      </rPr>
      <t xml:space="preserve">材质审计表 — 用工厂报价单核对 </t>
    </r>
    <r>
      <rPr>
        <b val="true"/>
        <sz val="14"/>
        <color rgb="FFB87333"/>
        <rFont val="DejaVu Sans"/>
        <family val="2"/>
        <charset val="1"/>
      </rPr>
      <t xml:space="preserve">28 </t>
    </r>
    <r>
      <rPr>
        <b val="true"/>
        <sz val="14"/>
        <color rgb="FFB87333"/>
        <rFont val="DejaVu Sans"/>
        <family val="2"/>
      </rPr>
      <t xml:space="preserve">个产品</t>
    </r>
  </si>
  <si>
    <t xml:space="preserve">使用说明：</t>
  </si>
  <si>
    <r>
      <rPr>
        <i val="true"/>
        <sz val="9"/>
        <color rgb="FF666666"/>
        <rFont val="Cambria"/>
        <family val="0"/>
        <charset val="1"/>
      </rPr>
      <t xml:space="preserve">F </t>
    </r>
    <r>
      <rPr>
        <i val="true"/>
        <sz val="9"/>
        <color rgb="FF666666"/>
        <rFont val="DejaVu Sans"/>
        <family val="2"/>
      </rPr>
      <t xml:space="preserve">列（工厂真实材质）和 </t>
    </r>
    <r>
      <rPr>
        <i val="true"/>
        <sz val="9"/>
        <color rgb="FF666666"/>
        <rFont val="Cambria"/>
        <family val="0"/>
        <charset val="1"/>
      </rPr>
      <t xml:space="preserve">G </t>
    </r>
    <r>
      <rPr>
        <i val="true"/>
        <sz val="9"/>
        <color rgb="FF666666"/>
        <rFont val="DejaVu Sans"/>
        <family val="2"/>
      </rPr>
      <t xml:space="preserve">列（工艺细节）从工厂报价单 </t>
    </r>
    <r>
      <rPr>
        <i val="true"/>
        <sz val="9"/>
        <color rgb="FF666666"/>
        <rFont val="Cambria"/>
        <family val="0"/>
        <charset val="1"/>
      </rPr>
      <t xml:space="preserve">/ PI / </t>
    </r>
    <r>
      <rPr>
        <i val="true"/>
        <sz val="9"/>
        <color rgb="FF666666"/>
        <rFont val="DejaVu Sans"/>
        <family val="2"/>
      </rPr>
      <t xml:space="preserve">样品标签查询并填入。</t>
    </r>
    <r>
      <rPr>
        <i val="true"/>
        <sz val="9"/>
        <color rgb="FF666666"/>
        <rFont val="Cambria"/>
        <family val="0"/>
        <charset val="1"/>
      </rPr>
      <t xml:space="preserve">H/I/J </t>
    </r>
    <r>
      <rPr>
        <i val="true"/>
        <sz val="9"/>
        <color rgb="FF666666"/>
        <rFont val="DejaVu Sans"/>
        <family val="2"/>
      </rPr>
      <t xml:space="preserve">列自动判断。</t>
    </r>
  </si>
  <si>
    <t xml:space="preserve">SKU</t>
  </si>
  <si>
    <t xml:space="preserve">产品名</t>
  </si>
  <si>
    <r>
      <rPr>
        <b val="true"/>
        <sz val="10"/>
        <color rgb="FFFFFFFF"/>
        <rFont val="DejaVu Sans"/>
        <family val="2"/>
      </rPr>
      <t xml:space="preserve">网站 </t>
    </r>
    <r>
      <rPr>
        <b val="true"/>
        <sz val="10"/>
        <color rgb="FFFFFFFF"/>
        <rFont val="DejaVu Sans"/>
        <family val="2"/>
        <charset val="1"/>
      </rPr>
      <t xml:space="preserve">/ </t>
    </r>
    <r>
      <rPr>
        <b val="true"/>
        <sz val="10"/>
        <color rgb="FFFFFFFF"/>
        <rFont val="DejaVu Sans"/>
        <family val="2"/>
      </rPr>
      <t xml:space="preserve">套件中宣称</t>
    </r>
  </si>
  <si>
    <r>
      <rPr>
        <b val="true"/>
        <sz val="10"/>
        <color rgb="FFFFFFFF"/>
        <rFont val="Arial"/>
        <family val="0"/>
        <charset val="1"/>
      </rPr>
      <t xml:space="preserve">Catalogue v4 </t>
    </r>
    <r>
      <rPr>
        <b val="true"/>
        <sz val="10"/>
        <color rgb="FFFFFFFF"/>
        <rFont val="DejaVu Sans"/>
        <family val="2"/>
      </rPr>
      <t xml:space="preserve">宣称</t>
    </r>
  </si>
  <si>
    <r>
      <rPr>
        <b val="true"/>
        <sz val="10"/>
        <color rgb="FFFFFFFF"/>
        <rFont val="Arial"/>
        <family val="0"/>
        <charset val="1"/>
      </rPr>
      <t xml:space="preserve">Capability Sheet </t>
    </r>
    <r>
      <rPr>
        <b val="true"/>
        <sz val="10"/>
        <color rgb="FFFFFFFF"/>
        <rFont val="DejaVu Sans"/>
        <family val="2"/>
      </rPr>
      <t xml:space="preserve">宣称（如出现）</t>
    </r>
  </si>
  <si>
    <t xml:space="preserve">🟡 工厂报价单真实材质（你填）</t>
  </si>
  <si>
    <r>
      <rPr>
        <b val="true"/>
        <sz val="10"/>
        <color rgb="FFFFFFFF"/>
        <rFont val="DejaVu Sans"/>
        <family val="2"/>
      </rPr>
      <t xml:space="preserve">🟡 实际颜色 </t>
    </r>
    <r>
      <rPr>
        <b val="true"/>
        <sz val="10"/>
        <color rgb="FFFFFFFF"/>
        <rFont val="DejaVu Sans"/>
        <family val="2"/>
        <charset val="1"/>
      </rPr>
      <t xml:space="preserve">/ </t>
    </r>
    <r>
      <rPr>
        <b val="true"/>
        <sz val="10"/>
        <color rgb="FFFFFFFF"/>
        <rFont val="DejaVu Sans"/>
        <family val="2"/>
      </rPr>
      <t xml:space="preserve">工艺细节</t>
    </r>
  </si>
  <si>
    <t xml:space="preserve">一致性</t>
  </si>
  <si>
    <t xml:space="preserve">需要修正的位置</t>
  </si>
  <si>
    <t xml:space="preserve">修正优先级</t>
  </si>
  <si>
    <t xml:space="preserve">备注</t>
  </si>
  <si>
    <t xml:space="preserve">WP-101</t>
  </si>
  <si>
    <t xml:space="preserve">Brass Crown Bolt-Action Pen</t>
  </si>
  <si>
    <r>
      <rPr>
        <sz val="9"/>
        <rFont val="Arial"/>
        <family val="0"/>
        <charset val="1"/>
      </rPr>
      <t xml:space="preserve">Brass crown + anodised aluminium body + SS clip (</t>
    </r>
    <r>
      <rPr>
        <sz val="9"/>
        <rFont val="DejaVu Sans"/>
        <family val="2"/>
      </rPr>
      <t xml:space="preserve">已修正</t>
    </r>
    <r>
      <rPr>
        <sz val="9"/>
        <rFont val="Arial"/>
        <family val="0"/>
        <charset val="1"/>
      </rPr>
      <t xml:space="preserve">)</t>
    </r>
  </si>
  <si>
    <t xml:space="preserve">Brass + aluminium + SS · 138mm · 28g</t>
  </si>
  <si>
    <t xml:space="preserve">（不直接出现）</t>
  </si>
  <si>
    <t xml:space="preserve">Brass (crown/tip/bolt slot) + Aluminum alloy (body) + Stainless steel (clip)</t>
  </si>
  <si>
    <r>
      <rPr>
        <b val="true"/>
        <sz val="10"/>
        <color rgb="FF0000FF"/>
        <rFont val="DejaVu Sans"/>
        <family val="2"/>
      </rPr>
      <t xml:space="preserve">电镀枪色 </t>
    </r>
    <r>
      <rPr>
        <b val="true"/>
        <sz val="10"/>
        <color rgb="FF0000FF"/>
        <rFont val="Arial"/>
        <family val="0"/>
        <charset val="1"/>
      </rPr>
      <t xml:space="preserve">/ Forest Green / Matte Black</t>
    </r>
  </si>
  <si>
    <t xml:space="preserve">WP-102</t>
  </si>
  <si>
    <t xml:space="preserve">Executive Dual-Head Inkless Pen</t>
  </si>
  <si>
    <t xml:space="preserve">Anodised aluminium · 144mm · 23.3g</t>
  </si>
  <si>
    <t xml:space="preserve">Gunmetal anodised aluminium · 144mm · 23.3g</t>
  </si>
  <si>
    <r>
      <rPr>
        <i val="true"/>
        <sz val="9"/>
        <color rgb="FF666666"/>
        <rFont val="DejaVu Sans"/>
        <family val="2"/>
      </rPr>
      <t xml:space="preserve">（在 </t>
    </r>
    <r>
      <rPr>
        <i val="true"/>
        <sz val="9"/>
        <color rgb="FF666666"/>
        <rFont val="DejaVu Sans"/>
        <family val="2"/>
        <charset val="1"/>
      </rPr>
      <t xml:space="preserve">WGS-001 </t>
    </r>
    <r>
      <rPr>
        <i val="true"/>
        <sz val="9"/>
        <color rgb="FF666666"/>
        <rFont val="DejaVu Sans"/>
        <family val="2"/>
      </rPr>
      <t xml:space="preserve">中）</t>
    </r>
  </si>
  <si>
    <t xml:space="preserve">Metal body (likely anodised aluminium per industry standard)</t>
  </si>
  <si>
    <t xml:space="preserve">电镀枪色 — 工厂文档表述模糊，建议向工厂确认材质细节</t>
  </si>
  <si>
    <t xml:space="preserve">WP-103</t>
  </si>
  <si>
    <t xml:space="preserve">Tactical Stainless Steel Pen</t>
  </si>
  <si>
    <t xml:space="preserve">303 Stainless Steel HRC 40-45 · 152mm × 14mm</t>
  </si>
  <si>
    <t xml:space="preserve">303 SS HRC 40-45 · 152mm · 102.8g</t>
  </si>
  <si>
    <r>
      <rPr>
        <i val="true"/>
        <sz val="9"/>
        <color rgb="FF666666"/>
        <rFont val="Arial"/>
        <family val="0"/>
        <charset val="1"/>
      </rPr>
      <t xml:space="preserve">Field EDC </t>
    </r>
    <r>
      <rPr>
        <i val="true"/>
        <sz val="9"/>
        <color rgb="FF666666"/>
        <rFont val="DejaVu Sans"/>
        <family val="2"/>
      </rPr>
      <t xml:space="preserve">套件出现</t>
    </r>
  </si>
  <si>
    <t xml:space="preserve">303 Stainless steel</t>
  </si>
  <si>
    <r>
      <rPr>
        <b val="true"/>
        <sz val="10"/>
        <color rgb="FF0000FF"/>
        <rFont val="DejaVu Sans"/>
        <family val="2"/>
      </rPr>
      <t xml:space="preserve">镜面抛光</t>
    </r>
    <r>
      <rPr>
        <b val="true"/>
        <sz val="10"/>
        <color rgb="FF0000FF"/>
        <rFont val="Arial"/>
        <family val="0"/>
        <charset val="1"/>
      </rPr>
      <t xml:space="preserve">; 102.8g; tungsten-carbide glass breaker tip</t>
    </r>
  </si>
  <si>
    <t xml:space="preserve">WP-104</t>
  </si>
  <si>
    <t xml:space="preserve">6-in-1 Precision Metal Tool Pen</t>
  </si>
  <si>
    <t xml:space="preserve">Zinc alloy, electroplated · 149mm</t>
  </si>
  <si>
    <t xml:space="preserve">Zinc alloy · 149mm · ~30g</t>
  </si>
  <si>
    <r>
      <rPr>
        <i val="true"/>
        <sz val="9"/>
        <color rgb="FF666666"/>
        <rFont val="DejaVu Sans"/>
        <family val="2"/>
      </rPr>
      <t xml:space="preserve">（在 </t>
    </r>
    <r>
      <rPr>
        <i val="true"/>
        <sz val="9"/>
        <color rgb="FF666666"/>
        <rFont val="DejaVu Sans"/>
        <family val="2"/>
        <charset val="1"/>
      </rPr>
      <t xml:space="preserve">WGS-006 </t>
    </r>
    <r>
      <rPr>
        <i val="true"/>
        <sz val="9"/>
        <color rgb="FF666666"/>
        <rFont val="DejaVu Sans"/>
        <family val="2"/>
      </rPr>
      <t xml:space="preserve">中）</t>
    </r>
  </si>
  <si>
    <r>
      <rPr>
        <b val="true"/>
        <sz val="10"/>
        <color rgb="FF0000FF"/>
        <rFont val="DejaVu Sans"/>
        <family val="2"/>
      </rPr>
      <t xml:space="preserve">⚠️ 工厂文档同时提到 锌合金 </t>
    </r>
    <r>
      <rPr>
        <b val="true"/>
        <sz val="10"/>
        <color rgb="FF0000FF"/>
        <rFont val="Arial"/>
        <family val="0"/>
        <charset val="1"/>
      </rPr>
      <t xml:space="preserve">/ </t>
    </r>
    <r>
      <rPr>
        <b val="true"/>
        <sz val="10"/>
        <color rgb="FF0000FF"/>
        <rFont val="DejaVu Sans"/>
        <family val="2"/>
      </rPr>
      <t xml:space="preserve">铝合金 — 需向工厂确认实际版本</t>
    </r>
  </si>
  <si>
    <r>
      <rPr>
        <b val="true"/>
        <sz val="10"/>
        <color rgb="FF0000FF"/>
        <rFont val="DejaVu Sans"/>
        <family val="2"/>
      </rPr>
      <t xml:space="preserve">烤漆 </t>
    </r>
    <r>
      <rPr>
        <b val="true"/>
        <sz val="10"/>
        <color rgb="FF0000FF"/>
        <rFont val="Arial"/>
        <family val="0"/>
        <charset val="1"/>
      </rPr>
      <t xml:space="preserve">(Lacquer Finish); 6 functions integrated</t>
    </r>
  </si>
  <si>
    <t xml:space="preserve">WP-105</t>
  </si>
  <si>
    <t xml:space="preserve">Artisan Brass Rollerball</t>
  </si>
  <si>
    <t xml:space="preserve">Solid brass barrel · weighted hand feel</t>
  </si>
  <si>
    <r>
      <rPr>
        <i val="true"/>
        <sz val="9"/>
        <color rgb="FF666666"/>
        <rFont val="DejaVu Sans"/>
        <family val="2"/>
      </rPr>
      <t xml:space="preserve">（在 </t>
    </r>
    <r>
      <rPr>
        <i val="true"/>
        <sz val="9"/>
        <color rgb="FF666666"/>
        <rFont val="DejaVu Sans"/>
        <family val="2"/>
        <charset val="1"/>
      </rPr>
      <t xml:space="preserve">WGS-007 </t>
    </r>
    <r>
      <rPr>
        <i val="true"/>
        <sz val="9"/>
        <color rgb="FF666666"/>
        <rFont val="DejaVu Sans"/>
        <family val="2"/>
      </rPr>
      <t xml:space="preserve">中）</t>
    </r>
  </si>
  <si>
    <r>
      <rPr>
        <b val="true"/>
        <sz val="10"/>
        <color rgb="FF0000FF"/>
        <rFont val="Arial"/>
        <family val="0"/>
        <charset val="1"/>
      </rPr>
      <t xml:space="preserve">(</t>
    </r>
    <r>
      <rPr>
        <b val="true"/>
        <sz val="10"/>
        <color rgb="FF0000FF"/>
        <rFont val="DejaVu Sans"/>
        <family val="2"/>
      </rPr>
      <t xml:space="preserve">无 </t>
    </r>
    <r>
      <rPr>
        <b val="true"/>
        <sz val="10"/>
        <color rgb="FF0000FF"/>
        <rFont val="Arial"/>
        <family val="0"/>
        <charset val="1"/>
      </rPr>
      <t xml:space="preserve">docx — </t>
    </r>
    <r>
      <rPr>
        <b val="true"/>
        <sz val="10"/>
        <color rgb="FF0000FF"/>
        <rFont val="DejaVu Sans"/>
        <family val="2"/>
      </rPr>
      <t xml:space="preserve">待向工厂索取 </t>
    </r>
    <r>
      <rPr>
        <b val="true"/>
        <sz val="10"/>
        <color rgb="FF0000FF"/>
        <rFont val="Arial"/>
        <family val="0"/>
        <charset val="1"/>
      </rPr>
      <t xml:space="preserve">PI)</t>
    </r>
  </si>
  <si>
    <t xml:space="preserve">WP-106</t>
  </si>
  <si>
    <t xml:space="preserve">Solid Brass Ballpoint Pen</t>
  </si>
  <si>
    <t xml:space="preserve">Solid brass · 156mm × 7mm · 50g</t>
  </si>
  <si>
    <r>
      <rPr>
        <i val="true"/>
        <sz val="9"/>
        <color rgb="FF666666"/>
        <rFont val="DejaVu Sans"/>
        <family val="2"/>
      </rPr>
      <t xml:space="preserve">（在 </t>
    </r>
    <r>
      <rPr>
        <i val="true"/>
        <sz val="9"/>
        <color rgb="FF666666"/>
        <rFont val="DejaVu Sans"/>
        <family val="2"/>
        <charset val="1"/>
      </rPr>
      <t xml:space="preserve">WGS-008 </t>
    </r>
    <r>
      <rPr>
        <i val="true"/>
        <sz val="9"/>
        <color rgb="FF666666"/>
        <rFont val="DejaVu Sans"/>
        <family val="2"/>
      </rPr>
      <t xml:space="preserve">中）</t>
    </r>
  </si>
  <si>
    <t xml:space="preserve">WP-201</t>
  </si>
  <si>
    <t xml:space="preserve">Professional Aluminium Mouse Pad</t>
  </si>
  <si>
    <t xml:space="preserve">5052 aluminium + PU base · 240×200mm</t>
  </si>
  <si>
    <t xml:space="preserve">（独立销售）</t>
  </si>
  <si>
    <t xml:space="preserve">5052 Aluminium alloy (front) + PU leather (back)</t>
  </si>
  <si>
    <t xml:space="preserve">CNC edge chamfer + sandblast + anodising; 240×200mm</t>
  </si>
  <si>
    <t xml:space="preserve">WP-202</t>
  </si>
  <si>
    <t xml:space="preserve">Precision Aluminium Pen Holder</t>
  </si>
  <si>
    <t xml:space="preserve">6061-T6 aluminium, anodised · Ø100×80mm · 2.5mm wall</t>
  </si>
  <si>
    <t xml:space="preserve">6061-T6 aluminium · Ø100×80mm · ~500g</t>
  </si>
  <si>
    <t xml:space="preserve">5052/6063 Aluminium alloy</t>
  </si>
  <si>
    <t xml:space="preserve">CNC + sandblast + anodising; Ø100×80mm; 500g</t>
  </si>
  <si>
    <t xml:space="preserve">WP-203</t>
  </si>
  <si>
    <t xml:space="preserve">Executive Zinc Alloy Letter Opener</t>
  </si>
  <si>
    <t xml:space="preserve">Zinc alloy, high-gloss electroplated · 230mm · 74g</t>
  </si>
  <si>
    <t xml:space="preserve">Zinc alloy, high-gloss plated · 230mm · 74g</t>
  </si>
  <si>
    <t xml:space="preserve">Zinc alloy, high-gloss electroplated</t>
  </si>
  <si>
    <t xml:space="preserve">Silver / Gold / Rose Gold; 230mm; 74g</t>
  </si>
  <si>
    <t xml:space="preserve">WP-204</t>
  </si>
  <si>
    <t xml:space="preserve">Propeller Spinning Letter Opener</t>
  </si>
  <si>
    <r>
      <rPr>
        <sz val="9"/>
        <rFont val="Arial"/>
        <family val="0"/>
        <charset val="1"/>
      </rPr>
      <t xml:space="preserve">⚠️ Catalogue </t>
    </r>
    <r>
      <rPr>
        <sz val="9"/>
        <rFont val="DejaVu Sans"/>
        <family val="2"/>
      </rPr>
      <t xml:space="preserve">说 </t>
    </r>
    <r>
      <rPr>
        <sz val="9"/>
        <rFont val="Arial"/>
        <family val="0"/>
        <charset val="1"/>
      </rPr>
      <t xml:space="preserve">Zinc alloy · 187mm · 85g</t>
    </r>
  </si>
  <si>
    <t xml:space="preserve">Zinc alloy, matte brushed silver · 187mm · 85g</t>
  </si>
  <si>
    <r>
      <rPr>
        <i val="true"/>
        <sz val="9"/>
        <color rgb="FF666666"/>
        <rFont val="DejaVu Sans"/>
        <family val="2"/>
      </rPr>
      <t xml:space="preserve">⚠️ 旧版本曾误标 </t>
    </r>
    <r>
      <rPr>
        <i val="true"/>
        <sz val="9"/>
        <color rgb="FF666666"/>
        <rFont val="DejaVu Sans"/>
        <family val="2"/>
        <charset val="1"/>
      </rPr>
      <t xml:space="preserve">"solid brass"</t>
    </r>
    <r>
      <rPr>
        <i val="true"/>
        <sz val="9"/>
        <color rgb="FF666666"/>
        <rFont val="DejaVu Sans"/>
        <family val="2"/>
      </rPr>
      <t xml:space="preserve">，已修正为 </t>
    </r>
    <r>
      <rPr>
        <i val="true"/>
        <sz val="9"/>
        <color rgb="FF666666"/>
        <rFont val="DejaVu Sans"/>
        <family val="2"/>
        <charset val="1"/>
      </rPr>
      <t xml:space="preserve">zinc</t>
    </r>
  </si>
  <si>
    <t xml:space="preserve">Zinc alloy</t>
  </si>
  <si>
    <r>
      <rPr>
        <b val="true"/>
        <sz val="10"/>
        <color rgb="FF0000FF"/>
        <rFont val="DejaVu Sans"/>
        <family val="2"/>
      </rPr>
      <t xml:space="preserve">镜面电镀 </t>
    </r>
    <r>
      <rPr>
        <b val="true"/>
        <sz val="10"/>
        <color rgb="FF0000FF"/>
        <rFont val="Arial"/>
        <family val="0"/>
        <charset val="1"/>
      </rPr>
      <t xml:space="preserve">brushed silver; 187mm; 85g; bearing-mounted propeller</t>
    </r>
  </si>
  <si>
    <t xml:space="preserve">WP-205</t>
  </si>
  <si>
    <t xml:space="preserve">Precision Custom Metal Bookmark</t>
  </si>
  <si>
    <t xml:space="preserve">Brass / Stainless steel / Zinc alloy options · 120-150mm</t>
  </si>
  <si>
    <t xml:space="preserve">Brass / Stainless / Zinc · 120-150mm · ~20g</t>
  </si>
  <si>
    <t xml:space="preserve">Brass / Stainless steel / Zinc alloy (3 options, customer specifies on order)</t>
  </si>
  <si>
    <t xml:space="preserve">Chemical etching / laser cutting / electroplating</t>
  </si>
  <si>
    <t xml:space="preserve">WP-206</t>
  </si>
  <si>
    <t xml:space="preserve">Precision Kinetic Brass Spinning Top</t>
  </si>
  <si>
    <t xml:space="preserve">CNC-machined solid brass</t>
  </si>
  <si>
    <r>
      <rPr>
        <i val="true"/>
        <sz val="9"/>
        <color rgb="FF666666"/>
        <rFont val="DejaVu Sans"/>
        <family val="2"/>
      </rPr>
      <t xml:space="preserve">（在 </t>
    </r>
    <r>
      <rPr>
        <i val="true"/>
        <sz val="9"/>
        <color rgb="FF666666"/>
        <rFont val="DejaVu Sans"/>
        <family val="2"/>
        <charset val="1"/>
      </rPr>
      <t xml:space="preserve">WGS-007 </t>
    </r>
    <r>
      <rPr>
        <i val="true"/>
        <sz val="9"/>
        <color rgb="FF666666"/>
        <rFont val="DejaVu Sans"/>
        <family val="2"/>
      </rPr>
      <t xml:space="preserve">中 </t>
    </r>
    <r>
      <rPr>
        <i val="true"/>
        <sz val="9"/>
        <color rgb="FF666666"/>
        <rFont val="DejaVu Sans"/>
        <family val="2"/>
        <charset val="1"/>
      </rPr>
      <t xml:space="preserve">+ </t>
    </r>
    <r>
      <rPr>
        <i val="true"/>
        <sz val="9"/>
        <color rgb="FF666666"/>
        <rFont val="DejaVu Sans"/>
        <family val="2"/>
      </rPr>
      <t xml:space="preserve">首页 </t>
    </r>
    <r>
      <rPr>
        <i val="true"/>
        <sz val="9"/>
        <color rgb="FF666666"/>
        <rFont val="DejaVu Sans"/>
        <family val="2"/>
        <charset val="1"/>
      </rPr>
      <t xml:space="preserve">Featured</t>
    </r>
    <r>
      <rPr>
        <i val="true"/>
        <sz val="9"/>
        <color rgb="FF666666"/>
        <rFont val="DejaVu Sans"/>
        <family val="2"/>
      </rPr>
      <t xml:space="preserve">）</t>
    </r>
  </si>
  <si>
    <t xml:space="preserve">Pure brass (solid)</t>
  </si>
  <si>
    <t xml:space="preserve">CNC machined</t>
  </si>
  <si>
    <t xml:space="preserve">WP-207</t>
  </si>
  <si>
    <t xml:space="preserve">Carbon Fiber Magnetic Fidget Stick</t>
  </si>
  <si>
    <r>
      <rPr>
        <sz val="9"/>
        <rFont val="Arial"/>
        <family val="0"/>
        <charset val="1"/>
      </rPr>
      <t xml:space="preserve">⚠️ Carbon fiber + metal caps</t>
    </r>
    <r>
      <rPr>
        <sz val="9"/>
        <rFont val="DejaVu Sans"/>
        <family val="2"/>
      </rPr>
      <t xml:space="preserve">（边缘 </t>
    </r>
    <r>
      <rPr>
        <sz val="9"/>
        <rFont val="Arial"/>
        <family val="0"/>
        <charset val="1"/>
      </rPr>
      <t xml:space="preserve">SKU</t>
    </r>
    <r>
      <rPr>
        <sz val="9"/>
        <rFont val="DejaVu Sans"/>
        <family val="2"/>
      </rPr>
      <t xml:space="preserve">，不入套件）</t>
    </r>
  </si>
  <si>
    <t xml:space="preserve">Carbon fiber + metal caps · 42g</t>
  </si>
  <si>
    <r>
      <rPr>
        <i val="true"/>
        <sz val="9"/>
        <color rgb="FF666666"/>
        <rFont val="DejaVu Sans"/>
        <family val="2"/>
      </rPr>
      <t xml:space="preserve">⚠️ 违反</t>
    </r>
    <r>
      <rPr>
        <i val="true"/>
        <sz val="9"/>
        <color rgb="FF666666"/>
        <rFont val="DejaVu Sans"/>
        <family val="2"/>
        <charset val="1"/>
      </rPr>
      <t xml:space="preserve">"</t>
    </r>
    <r>
      <rPr>
        <i val="true"/>
        <sz val="9"/>
        <color rgb="FF666666"/>
        <rFont val="DejaVu Sans"/>
        <family val="2"/>
      </rPr>
      <t xml:space="preserve">金属专家</t>
    </r>
    <r>
      <rPr>
        <i val="true"/>
        <sz val="9"/>
        <color rgb="FF666666"/>
        <rFont val="DejaVu Sans"/>
        <family val="2"/>
        <charset val="1"/>
      </rPr>
      <t xml:space="preserve">"</t>
    </r>
    <r>
      <rPr>
        <i val="true"/>
        <sz val="9"/>
        <color rgb="FF666666"/>
        <rFont val="DejaVu Sans"/>
        <family val="2"/>
      </rPr>
      <t xml:space="preserve">定位，独立销售</t>
    </r>
  </si>
  <si>
    <t xml:space="preserve">Metal (caps) + Carbon fiber (body)</t>
  </si>
  <si>
    <r>
      <rPr>
        <b val="true"/>
        <sz val="10"/>
        <color rgb="FF0000FF"/>
        <rFont val="Arial"/>
        <family val="0"/>
        <charset val="1"/>
      </rPr>
      <t xml:space="preserve">⚠️ Carbon fiber </t>
    </r>
    <r>
      <rPr>
        <b val="true"/>
        <sz val="10"/>
        <color rgb="FF0000FF"/>
        <rFont val="DejaVu Sans"/>
        <family val="2"/>
      </rPr>
      <t xml:space="preserve">不是金属，违反</t>
    </r>
    <r>
      <rPr>
        <b val="true"/>
        <sz val="10"/>
        <color rgb="FF0000FF"/>
        <rFont val="Arial"/>
        <family val="0"/>
        <charset val="1"/>
      </rPr>
      <t xml:space="preserve">"</t>
    </r>
    <r>
      <rPr>
        <b val="true"/>
        <sz val="10"/>
        <color rgb="FF0000FF"/>
        <rFont val="DejaVu Sans"/>
        <family val="2"/>
      </rPr>
      <t xml:space="preserve">金属专家</t>
    </r>
    <r>
      <rPr>
        <b val="true"/>
        <sz val="10"/>
        <color rgb="FF0000FF"/>
        <rFont val="Arial"/>
        <family val="0"/>
        <charset val="1"/>
      </rPr>
      <t xml:space="preserve">"</t>
    </r>
    <r>
      <rPr>
        <b val="true"/>
        <sz val="10"/>
        <color rgb="FF0000FF"/>
        <rFont val="DejaVu Sans"/>
        <family val="2"/>
      </rPr>
      <t xml:space="preserve">定位</t>
    </r>
  </si>
  <si>
    <t xml:space="preserve">WP-208</t>
  </si>
  <si>
    <t xml:space="preserve">Precision Folding Aluminium Device Stand</t>
  </si>
  <si>
    <t xml:space="preserve">6061-T6 aluminium, anodised · 182×60×18mm · 150g</t>
  </si>
  <si>
    <t xml:space="preserve">6061-T6 aluminium · 182×60mm folded · 150g</t>
  </si>
  <si>
    <r>
      <rPr>
        <i val="true"/>
        <sz val="9"/>
        <color rgb="FF666666"/>
        <rFont val="DejaVu Sans"/>
        <family val="2"/>
      </rPr>
      <t xml:space="preserve">（在 </t>
    </r>
    <r>
      <rPr>
        <i val="true"/>
        <sz val="9"/>
        <color rgb="FF666666"/>
        <rFont val="DejaVu Sans"/>
        <family val="2"/>
        <charset val="1"/>
      </rPr>
      <t xml:space="preserve">WGS-002 + WGS-008 </t>
    </r>
    <r>
      <rPr>
        <i val="true"/>
        <sz val="9"/>
        <color rgb="FF666666"/>
        <rFont val="DejaVu Sans"/>
        <family val="2"/>
      </rPr>
      <t xml:space="preserve">中）</t>
    </r>
  </si>
  <si>
    <t xml:space="preserve">WP-301</t>
  </si>
  <si>
    <t xml:space="preserve">RFID Aluminium Wallet &amp; Badge Holder</t>
  </si>
  <si>
    <t xml:space="preserve">Aluminium alloy · 95×60×10.5mm · 83g · 12 cards · RFID blocking</t>
  </si>
  <si>
    <t xml:space="preserve">Aluminium alloy · 95×60mm · 83g</t>
  </si>
  <si>
    <t xml:space="preserve">⚠️ Aluminium alloy + Carbon fiber composite</t>
  </si>
  <si>
    <r>
      <rPr>
        <b val="true"/>
        <sz val="10"/>
        <color rgb="FF0000FF"/>
        <rFont val="DejaVu Sans"/>
        <family val="2"/>
      </rPr>
      <t xml:space="preserve">阳极氧化喷砂</t>
    </r>
    <r>
      <rPr>
        <b val="true"/>
        <sz val="10"/>
        <color rgb="FF0000FF"/>
        <rFont val="Arial"/>
        <family val="0"/>
        <charset val="1"/>
      </rPr>
      <t xml:space="preserve">; 95×60×10.5mm; 83g; 12 cards; RFID blocking</t>
    </r>
  </si>
  <si>
    <t xml:space="preserve">WP-302</t>
  </si>
  <si>
    <t xml:space="preserve">Industrial Brass Key Organizer</t>
  </si>
  <si>
    <t xml:space="preserve">Solid brass, polished · 60-87mm · 11-18g</t>
  </si>
  <si>
    <t xml:space="preserve">Solid brass, polished · 60-87mm</t>
  </si>
  <si>
    <r>
      <rPr>
        <i val="true"/>
        <sz val="9"/>
        <color rgb="FF666666"/>
        <rFont val="DejaVu Sans"/>
        <family val="2"/>
      </rPr>
      <t xml:space="preserve">（在 </t>
    </r>
    <r>
      <rPr>
        <i val="true"/>
        <sz val="9"/>
        <color rgb="FF666666"/>
        <rFont val="DejaVu Sans"/>
        <family val="2"/>
        <charset val="1"/>
      </rPr>
      <t xml:space="preserve">WGS-003 </t>
    </r>
    <r>
      <rPr>
        <i val="true"/>
        <sz val="9"/>
        <color rgb="FF666666"/>
        <rFont val="DejaVu Sans"/>
        <family val="2"/>
      </rPr>
      <t xml:space="preserve">中）</t>
    </r>
  </si>
  <si>
    <t xml:space="preserve">Polished modern industrial luster</t>
  </si>
  <si>
    <t xml:space="preserve">WP-303</t>
  </si>
  <si>
    <t xml:space="preserve">Industrial Stainless Steel Money Clip</t>
  </si>
  <si>
    <t xml:space="preserve">Industrial grade stainless steel · ~20g · Spring tension</t>
  </si>
  <si>
    <t xml:space="preserve">Industrial grade stainless steel · ~20g</t>
  </si>
  <si>
    <t xml:space="preserve">Industrial grade stainless steel</t>
  </si>
  <si>
    <r>
      <rPr>
        <b val="true"/>
        <sz val="10"/>
        <color rgb="FF0000FF"/>
        <rFont val="DejaVu Sans"/>
        <family val="2"/>
      </rPr>
      <t xml:space="preserve">镜面抛光 </t>
    </r>
    <r>
      <rPr>
        <b val="true"/>
        <sz val="10"/>
        <color rgb="FF0000FF"/>
        <rFont val="Arial"/>
        <family val="0"/>
        <charset val="1"/>
      </rPr>
      <t xml:space="preserve">/ </t>
    </r>
    <r>
      <rPr>
        <b val="true"/>
        <sz val="10"/>
        <color rgb="FF0000FF"/>
        <rFont val="DejaVu Sans"/>
        <family val="2"/>
      </rPr>
      <t xml:space="preserve">哑光电泳 </t>
    </r>
    <r>
      <rPr>
        <b val="true"/>
        <sz val="10"/>
        <color rgb="FF0000FF"/>
        <rFont val="Arial"/>
        <family val="0"/>
        <charset val="1"/>
      </rPr>
      <t xml:space="preserve">/ PVD </t>
    </r>
    <r>
      <rPr>
        <b val="true"/>
        <sz val="10"/>
        <color rgb="FF0000FF"/>
        <rFont val="DejaVu Sans"/>
        <family val="2"/>
      </rPr>
      <t xml:space="preserve">真空电镀</t>
    </r>
  </si>
  <si>
    <t xml:space="preserve">WP-304</t>
  </si>
  <si>
    <t xml:space="preserve">Titanium Anti-Static EDC Comb</t>
  </si>
  <si>
    <t xml:space="preserve">Titanium alloy, sandblasted · 100mm</t>
  </si>
  <si>
    <t xml:space="preserve">Titanium alloy · 100/150mm</t>
  </si>
  <si>
    <t xml:space="preserve">Titanium alloy</t>
  </si>
  <si>
    <r>
      <rPr>
        <b val="true"/>
        <sz val="10"/>
        <color rgb="FF0000FF"/>
        <rFont val="DejaVu Sans"/>
        <family val="2"/>
      </rPr>
      <t xml:space="preserve">喷砂 </t>
    </r>
    <r>
      <rPr>
        <b val="true"/>
        <sz val="10"/>
        <color rgb="FF0000FF"/>
        <rFont val="Arial"/>
        <family val="0"/>
        <charset val="1"/>
      </rPr>
      <t xml:space="preserve">/ </t>
    </r>
    <r>
      <rPr>
        <b val="true"/>
        <sz val="10"/>
        <color rgb="FF0000FF"/>
        <rFont val="DejaVu Sans"/>
        <family val="2"/>
      </rPr>
      <t xml:space="preserve">滚光</t>
    </r>
    <r>
      <rPr>
        <b val="true"/>
        <sz val="10"/>
        <color rgb="FF0000FF"/>
        <rFont val="Arial"/>
        <family val="0"/>
        <charset val="1"/>
      </rPr>
      <t xml:space="preserve">; 100/150mm; anti-static</t>
    </r>
  </si>
  <si>
    <t xml:space="preserve">WP-305</t>
  </si>
  <si>
    <t xml:space="preserve">Industrial Mini EDC Pry Bar</t>
  </si>
  <si>
    <t xml:space="preserve">Stainless Steel or Titanium Alloy · ~70mm · 12g</t>
  </si>
  <si>
    <t xml:space="preserve">Stainless steel or titanium alloy</t>
  </si>
  <si>
    <r>
      <rPr>
        <i val="true"/>
        <sz val="9"/>
        <color rgb="FF666666"/>
        <rFont val="DejaVu Sans"/>
        <family val="2"/>
      </rPr>
      <t xml:space="preserve">（在 </t>
    </r>
    <r>
      <rPr>
        <i val="true"/>
        <sz val="9"/>
        <color rgb="FF666666"/>
        <rFont val="DejaVu Sans"/>
        <family val="2"/>
        <charset val="1"/>
      </rPr>
      <t xml:space="preserve">WGS-004 </t>
    </r>
    <r>
      <rPr>
        <i val="true"/>
        <sz val="9"/>
        <color rgb="FF666666"/>
        <rFont val="DejaVu Sans"/>
        <family val="2"/>
      </rPr>
      <t xml:space="preserve">中）</t>
    </r>
  </si>
  <si>
    <r>
      <rPr>
        <b val="true"/>
        <sz val="10"/>
        <color rgb="FF0000FF"/>
        <rFont val="Arial"/>
        <family val="0"/>
        <charset val="1"/>
      </rPr>
      <t xml:space="preserve">Stainless steel OR Titanium alloy (</t>
    </r>
    <r>
      <rPr>
        <b val="true"/>
        <sz val="10"/>
        <color rgb="FF0000FF"/>
        <rFont val="DejaVu Sans"/>
        <family val="2"/>
      </rPr>
      <t xml:space="preserve">双版本</t>
    </r>
    <r>
      <rPr>
        <b val="true"/>
        <sz val="10"/>
        <color rgb="FF0000FF"/>
        <rFont val="Arial"/>
        <family val="0"/>
        <charset val="1"/>
      </rPr>
      <t xml:space="preserve">)</t>
    </r>
  </si>
  <si>
    <r>
      <rPr>
        <b val="true"/>
        <sz val="10"/>
        <color rgb="FF0000FF"/>
        <rFont val="Arial"/>
        <family val="0"/>
        <charset val="1"/>
      </rPr>
      <t xml:space="preserve">~70mm; 12g; </t>
    </r>
    <r>
      <rPr>
        <b val="true"/>
        <sz val="10"/>
        <color rgb="FF0000FF"/>
        <rFont val="DejaVu Sans"/>
        <family val="2"/>
      </rPr>
      <t xml:space="preserve">防锈双版本</t>
    </r>
  </si>
  <si>
    <t xml:space="preserve">WP-307</t>
  </si>
  <si>
    <t xml:space="preserve">EDC Folding Metal Scissors</t>
  </si>
  <si>
    <t xml:space="preserve">2CR13 Stainless Steel, satin silver · 90mm folded / 145mm open</t>
  </si>
  <si>
    <t xml:space="preserve">2CR13 stainless steel</t>
  </si>
  <si>
    <t xml:space="preserve">2CR13 Stainless steel</t>
  </si>
  <si>
    <r>
      <rPr>
        <b val="true"/>
        <sz val="10"/>
        <color rgb="FF0000FF"/>
        <rFont val="DejaVu Sans"/>
        <family val="2"/>
      </rPr>
      <t xml:space="preserve">喷砂发黑工艺</t>
    </r>
    <r>
      <rPr>
        <b val="true"/>
        <sz val="10"/>
        <color rgb="FF0000FF"/>
        <rFont val="Arial"/>
        <family val="0"/>
        <charset val="1"/>
      </rPr>
      <t xml:space="preserve">; 90mm folded / 145mm open; 41.9g</t>
    </r>
  </si>
  <si>
    <t xml:space="preserve">WP-308</t>
  </si>
  <si>
    <t xml:space="preserve">Titanium EDC Keychain / Carabiner</t>
  </si>
  <si>
    <t xml:space="preserve">Titanium alloy + brass locking core · 53×26×5mm · ~11g</t>
  </si>
  <si>
    <t xml:space="preserve">Titanium alloy + brass locking core</t>
  </si>
  <si>
    <r>
      <rPr>
        <i val="true"/>
        <sz val="9"/>
        <color rgb="FF666666"/>
        <rFont val="DejaVu Sans"/>
        <family val="2"/>
      </rPr>
      <t xml:space="preserve">（在 </t>
    </r>
    <r>
      <rPr>
        <i val="true"/>
        <sz val="9"/>
        <color rgb="FF666666"/>
        <rFont val="DejaVu Sans"/>
        <family val="2"/>
        <charset val="1"/>
      </rPr>
      <t xml:space="preserve">WGS-005 </t>
    </r>
    <r>
      <rPr>
        <i val="true"/>
        <sz val="9"/>
        <color rgb="FF666666"/>
        <rFont val="DejaVu Sans"/>
        <family val="2"/>
      </rPr>
      <t xml:space="preserve">中 </t>
    </r>
    <r>
      <rPr>
        <i val="true"/>
        <sz val="9"/>
        <color rgb="FF666666"/>
        <rFont val="DejaVu Sans"/>
        <family val="2"/>
        <charset val="1"/>
      </rPr>
      <t xml:space="preserve">+ </t>
    </r>
    <r>
      <rPr>
        <i val="true"/>
        <sz val="9"/>
        <color rgb="FF666666"/>
        <rFont val="DejaVu Sans"/>
        <family val="2"/>
      </rPr>
      <t xml:space="preserve">首页 </t>
    </r>
    <r>
      <rPr>
        <i val="true"/>
        <sz val="9"/>
        <color rgb="FF666666"/>
        <rFont val="DejaVu Sans"/>
        <family val="2"/>
        <charset val="1"/>
      </rPr>
      <t xml:space="preserve">Featured</t>
    </r>
    <r>
      <rPr>
        <i val="true"/>
        <sz val="9"/>
        <color rgb="FF666666"/>
        <rFont val="DejaVu Sans"/>
        <family val="2"/>
      </rPr>
      <t xml:space="preserve">）</t>
    </r>
  </si>
  <si>
    <t xml:space="preserve">WP-309</t>
  </si>
  <si>
    <t xml:space="preserve">Slim Push Stainless Steel Business Card Case</t>
  </si>
  <si>
    <t xml:space="preserve">Brushed stainless steel · 103×60mm · 80g</t>
  </si>
  <si>
    <t xml:space="preserve">WP-401</t>
  </si>
  <si>
    <t xml:space="preserve">Pure Titanium Vacuum Insulated Bottle</t>
  </si>
  <si>
    <t xml:space="preserve">Pure titanium body · vacuum insulated · no coating</t>
  </si>
  <si>
    <t xml:space="preserve">Pure titanium body · vacuum insulated</t>
  </si>
  <si>
    <r>
      <rPr>
        <i val="true"/>
        <sz val="9"/>
        <color rgb="FF666666"/>
        <rFont val="DejaVu Sans"/>
        <family val="2"/>
      </rPr>
      <t xml:space="preserve">（独立销售；首页 </t>
    </r>
    <r>
      <rPr>
        <i val="true"/>
        <sz val="9"/>
        <color rgb="FF666666"/>
        <rFont val="DejaVu Sans"/>
        <family val="2"/>
        <charset val="1"/>
      </rPr>
      <t xml:space="preserve">OG </t>
    </r>
    <r>
      <rPr>
        <i val="true"/>
        <sz val="9"/>
        <color rgb="FF666666"/>
        <rFont val="DejaVu Sans"/>
        <family val="2"/>
      </rPr>
      <t xml:space="preserve">默认图）</t>
    </r>
  </si>
  <si>
    <t xml:space="preserve">⚠️ Pure titanium liner + 316 Stainless steel shell</t>
  </si>
  <si>
    <t xml:space="preserve">Sandblasted or structural crystal surface; integrated carry handle; 500/600/750ml</t>
  </si>
  <si>
    <t xml:space="preserve">WP-402</t>
  </si>
  <si>
    <t xml:space="preserve">Pure Titanium Capsule Bottle 150ml</t>
  </si>
  <si>
    <t xml:space="preserve">Pure titanium body · shirt-pocket size · 107-134g · food-grade</t>
  </si>
  <si>
    <t xml:space="preserve">Pure titanium · shirt-pocket size</t>
  </si>
  <si>
    <r>
      <rPr>
        <i val="true"/>
        <sz val="9"/>
        <color rgb="FF666666"/>
        <rFont val="DejaVu Sans"/>
        <family val="2"/>
      </rPr>
      <t xml:space="preserve">（在 </t>
    </r>
    <r>
      <rPr>
        <i val="true"/>
        <sz val="9"/>
        <color rgb="FF666666"/>
        <rFont val="DejaVu Sans"/>
        <family val="2"/>
        <charset val="1"/>
      </rPr>
      <t xml:space="preserve">WGS-005 + </t>
    </r>
    <r>
      <rPr>
        <i val="true"/>
        <sz val="9"/>
        <color rgb="FF666666"/>
        <rFont val="DejaVu Sans"/>
        <family val="2"/>
      </rPr>
      <t xml:space="preserve">首页 </t>
    </r>
    <r>
      <rPr>
        <i val="true"/>
        <sz val="9"/>
        <color rgb="FF666666"/>
        <rFont val="DejaVu Sans"/>
        <family val="2"/>
        <charset val="1"/>
      </rPr>
      <t xml:space="preserve">Featured</t>
    </r>
    <r>
      <rPr>
        <i val="true"/>
        <sz val="9"/>
        <color rgb="FF666666"/>
        <rFont val="DejaVu Sans"/>
        <family val="2"/>
      </rPr>
      <t xml:space="preserve">）</t>
    </r>
  </si>
  <si>
    <t xml:space="preserve">Pure titanium body + Food-grade PP cap</t>
  </si>
  <si>
    <t xml:space="preserve">107-134g; 150ml; no metallic taste; biocompatible</t>
  </si>
  <si>
    <t xml:space="preserve">WP-403</t>
  </si>
  <si>
    <t xml:space="preserve">Weighted Vacuum Insulated Tumbler</t>
  </si>
  <si>
    <t xml:space="preserve">Stainless steel · weighted base</t>
  </si>
  <si>
    <t xml:space="preserve">SUS304 Stainless steel + Polyester fabric sleeve</t>
  </si>
  <si>
    <t xml:space="preserve">420ml; H85×Φ85mm; 310g; double-wall vacuum; satin polish</t>
  </si>
  <si>
    <t xml:space="preserve">WP-404</t>
  </si>
  <si>
    <t xml:space="preserve">Bamboo Groove Stainless Steel Mug</t>
  </si>
  <si>
    <t xml:space="preserve">Stainless steel with bamboo-pattern groove texture (surface only — 100% stainless)</t>
  </si>
  <si>
    <t xml:space="preserve">Stainless steel with bamboo-pattern groove texture (surface only — fully stainless steel)</t>
  </si>
  <si>
    <t xml:space="preserve">（独立销售；已澄清纯不锈钢）</t>
  </si>
  <si>
    <t xml:space="preserve">Food-grade 304 Stainless steel (bamboo pattern = surface texture only)</t>
  </si>
  <si>
    <r>
      <rPr>
        <b val="true"/>
        <sz val="10"/>
        <color rgb="FF0000FF"/>
        <rFont val="DejaVu Sans"/>
        <family val="2"/>
      </rPr>
      <t xml:space="preserve">喷砂哑光 </t>
    </r>
    <r>
      <rPr>
        <b val="true"/>
        <sz val="10"/>
        <color rgb="FF0000FF"/>
        <rFont val="Arial"/>
        <family val="0"/>
        <charset val="1"/>
      </rPr>
      <t xml:space="preserve">(anti-fingerprint, wear-resistant)</t>
    </r>
  </si>
  <si>
    <t xml:space="preserve">WP-407</t>
  </si>
  <si>
    <t xml:space="preserve">Double-Wall Stainless Steel Desk Cup</t>
  </si>
  <si>
    <t xml:space="preserve">Stainless steel · double-wall insulated</t>
  </si>
  <si>
    <t xml:space="preserve">WP-408</t>
  </si>
  <si>
    <t xml:space="preserve">Titanium Tea Infuser Business Cup</t>
  </si>
  <si>
    <t xml:space="preserve">Pure titanium liner + titanium-gold exterior · 480ml · removable infuser</t>
  </si>
  <si>
    <t xml:space="preserve">Pure Ti liner + titanium-gold exterior · 480ml</t>
  </si>
  <si>
    <t xml:space="preserve">套件级材质叙事审计 — 套件描述是否如实反映组件混合材质</t>
  </si>
  <si>
    <t xml:space="preserve">说明：</t>
  </si>
  <si>
    <r>
      <rPr>
        <i val="true"/>
        <sz val="9"/>
        <color rgb="FF666666"/>
        <rFont val="DejaVu Sans"/>
        <family val="2"/>
      </rPr>
      <t xml:space="preserve">套件文案是否有</t>
    </r>
    <r>
      <rPr>
        <i val="true"/>
        <sz val="9"/>
        <color rgb="FF666666"/>
        <rFont val="DejaVu Sans"/>
        <family val="2"/>
        <charset val="1"/>
      </rPr>
      <t xml:space="preserve">"</t>
    </r>
    <r>
      <rPr>
        <i val="true"/>
        <sz val="9"/>
        <color rgb="FF666666"/>
        <rFont val="DejaVu Sans"/>
        <family val="2"/>
      </rPr>
      <t xml:space="preserve">夸大成单一材质</t>
    </r>
    <r>
      <rPr>
        <i val="true"/>
        <sz val="9"/>
        <color rgb="FF666666"/>
        <rFont val="DejaVu Sans"/>
        <family val="2"/>
        <charset val="1"/>
      </rPr>
      <t xml:space="preserve">"</t>
    </r>
    <r>
      <rPr>
        <i val="true"/>
        <sz val="9"/>
        <color rgb="FF666666"/>
        <rFont val="DejaVu Sans"/>
        <family val="2"/>
      </rPr>
      <t xml:space="preserve">的问题。</t>
    </r>
    <r>
      <rPr>
        <i val="true"/>
        <sz val="9"/>
        <color rgb="FF666666"/>
        <rFont val="DejaVu Sans"/>
        <family val="2"/>
        <charset val="1"/>
      </rPr>
      <t xml:space="preserve">WGS-002 + WGS-005 </t>
    </r>
    <r>
      <rPr>
        <i val="true"/>
        <sz val="9"/>
        <color rgb="FF666666"/>
        <rFont val="DejaVu Sans"/>
        <family val="2"/>
      </rPr>
      <t xml:space="preserve">已修。其他套件请人工核对。</t>
    </r>
  </si>
  <si>
    <r>
      <rPr>
        <b val="true"/>
        <sz val="10"/>
        <color rgb="FFFFFFFF"/>
        <rFont val="DejaVu Sans"/>
        <family val="2"/>
      </rPr>
      <t xml:space="preserve">套件 </t>
    </r>
    <r>
      <rPr>
        <b val="true"/>
        <sz val="10"/>
        <color rgb="FFFFFFFF"/>
        <rFont val="DejaVu Sans"/>
        <family val="2"/>
        <charset val="1"/>
      </rPr>
      <t xml:space="preserve">SKU</t>
    </r>
  </si>
  <si>
    <t xml:space="preserve">套件名</t>
  </si>
  <si>
    <t xml:space="preserve">套件描述关键句（材质宣称）</t>
  </si>
  <si>
    <t xml:space="preserve">实际组件材料组合</t>
  </si>
  <si>
    <t xml:space="preserve">叙事是否准确</t>
  </si>
  <si>
    <t xml:space="preserve">修正状态</t>
  </si>
  <si>
    <t xml:space="preserve">WGS-001</t>
  </si>
  <si>
    <t xml:space="preserve">The Desk Starter</t>
  </si>
  <si>
    <t xml:space="preserve">"all anodised aluminium" / "anodised aluminium across all three pieces"</t>
  </si>
  <si>
    <t xml:space="preserve">WP-102 (anodised aluminium) + WP-203 (zinc alloy, plated) + WP-205 (brass/stainless/zinc)</t>
  </si>
  <si>
    <t xml:space="preserve">❌ 不准确</t>
  </si>
  <si>
    <r>
      <rPr>
        <b val="true"/>
        <sz val="10"/>
        <rFont val="Cambria"/>
        <family val="0"/>
        <charset val="1"/>
      </rPr>
      <t xml:space="preserve">🔴 P0 </t>
    </r>
    <r>
      <rPr>
        <b val="true"/>
        <sz val="10"/>
        <rFont val="DejaVu Sans"/>
        <family val="2"/>
      </rPr>
      <t xml:space="preserve">待修</t>
    </r>
  </si>
  <si>
    <r>
      <rPr>
        <i val="true"/>
        <sz val="9"/>
        <color rgb="FF555555"/>
        <rFont val="DejaVu Sans"/>
        <family val="2"/>
      </rPr>
      <t xml:space="preserve">宣称</t>
    </r>
    <r>
      <rPr>
        <i val="true"/>
        <sz val="9"/>
        <color rgb="FF555555"/>
        <rFont val="DejaVu Sans"/>
        <family val="2"/>
        <charset val="1"/>
      </rPr>
      <t xml:space="preserve">"</t>
    </r>
    <r>
      <rPr>
        <i val="true"/>
        <sz val="9"/>
        <color rgb="FF555555"/>
        <rFont val="DejaVu Sans"/>
        <family val="2"/>
      </rPr>
      <t xml:space="preserve">全是阳极氧化铝</t>
    </r>
    <r>
      <rPr>
        <i val="true"/>
        <sz val="9"/>
        <color rgb="FF555555"/>
        <rFont val="DejaVu Sans"/>
        <family val="2"/>
        <charset val="1"/>
      </rPr>
      <t xml:space="preserve">"</t>
    </r>
    <r>
      <rPr>
        <i val="true"/>
        <sz val="9"/>
        <color rgb="FF555555"/>
        <rFont val="DejaVu Sans"/>
        <family val="2"/>
      </rPr>
      <t xml:space="preserve">，实际只有 </t>
    </r>
    <r>
      <rPr>
        <i val="true"/>
        <sz val="9"/>
        <color rgb="FF555555"/>
        <rFont val="DejaVu Sans"/>
        <family val="2"/>
        <charset val="1"/>
      </rPr>
      <t xml:space="preserve">WP-102 </t>
    </r>
    <r>
      <rPr>
        <i val="true"/>
        <sz val="9"/>
        <color rgb="FF555555"/>
        <rFont val="DejaVu Sans"/>
        <family val="2"/>
      </rPr>
      <t xml:space="preserve">是；</t>
    </r>
    <r>
      <rPr>
        <i val="true"/>
        <sz val="9"/>
        <color rgb="FF555555"/>
        <rFont val="DejaVu Sans"/>
        <family val="2"/>
        <charset val="1"/>
      </rPr>
      <t xml:space="preserve">WP-203 </t>
    </r>
    <r>
      <rPr>
        <i val="true"/>
        <sz val="9"/>
        <color rgb="FF555555"/>
        <rFont val="DejaVu Sans"/>
        <family val="2"/>
      </rPr>
      <t xml:space="preserve">是 </t>
    </r>
    <r>
      <rPr>
        <i val="true"/>
        <sz val="9"/>
        <color rgb="FF555555"/>
        <rFont val="DejaVu Sans"/>
        <family val="2"/>
        <charset val="1"/>
      </rPr>
      <t xml:space="preserve">plated zinc</t>
    </r>
    <r>
      <rPr>
        <i val="true"/>
        <sz val="9"/>
        <color rgb="FF555555"/>
        <rFont val="DejaVu Sans"/>
        <family val="2"/>
      </rPr>
      <t xml:space="preserve">，</t>
    </r>
    <r>
      <rPr>
        <i val="true"/>
        <sz val="9"/>
        <color rgb="FF555555"/>
        <rFont val="DejaVu Sans"/>
        <family val="2"/>
        <charset val="1"/>
      </rPr>
      <t xml:space="preserve">WP-205 </t>
    </r>
    <r>
      <rPr>
        <i val="true"/>
        <sz val="9"/>
        <color rgb="FF555555"/>
        <rFont val="DejaVu Sans"/>
        <family val="2"/>
      </rPr>
      <t xml:space="preserve">取决于客户选</t>
    </r>
  </si>
  <si>
    <t xml:space="preserve">WGS-002</t>
  </si>
  <si>
    <t xml:space="preserve">The Mechanical Desk</t>
  </si>
  <si>
    <r>
      <rPr>
        <sz val="9"/>
        <rFont val="Arial"/>
        <family val="0"/>
        <charset val="1"/>
      </rPr>
      <t xml:space="preserve">"Solid brass and anodised aluminium"</t>
    </r>
    <r>
      <rPr>
        <sz val="9"/>
        <rFont val="DejaVu Sans"/>
        <family val="2"/>
      </rPr>
      <t xml:space="preserve">（已修正为 </t>
    </r>
    <r>
      <rPr>
        <sz val="9"/>
        <rFont val="Arial"/>
        <family val="0"/>
        <charset val="1"/>
      </rPr>
      <t xml:space="preserve">brass crown + aluminium body + zinc alloy opener</t>
    </r>
    <r>
      <rPr>
        <sz val="9"/>
        <rFont val="DejaVu Sans"/>
        <family val="2"/>
      </rPr>
      <t xml:space="preserve">）</t>
    </r>
  </si>
  <si>
    <t xml:space="preserve">WP-101 (brass crown + aluminium body + SS clip) + WP-204 (zinc alloy) + WP-208 (aluminium)</t>
  </si>
  <si>
    <t xml:space="preserve">✅ 已修正</t>
  </si>
  <si>
    <t xml:space="preserve">✅ 已修（本次）</t>
  </si>
  <si>
    <t xml:space="preserve">本次已重写文案</t>
  </si>
  <si>
    <t xml:space="preserve">WGS-003</t>
  </si>
  <si>
    <t xml:space="preserve">The Pocket Three</t>
  </si>
  <si>
    <t xml:space="preserve">"Brass + Stainless + Titanium — each material matches its product's function"</t>
  </si>
  <si>
    <t xml:space="preserve">WP-302 (solid brass) + WP-303 (stainless) + WP-304 (titanium alloy)</t>
  </si>
  <si>
    <t xml:space="preserve">✅ 准确</t>
  </si>
  <si>
    <t xml:space="preserve">✅ 无需修</t>
  </si>
  <si>
    <t xml:space="preserve">三种金属各自精确分工，叙事和实际一致</t>
  </si>
  <si>
    <t xml:space="preserve">WGS-004</t>
  </si>
  <si>
    <t xml:space="preserve">The Field EDC</t>
  </si>
  <si>
    <t xml:space="preserve">"Stainless steel throughout" / "Compact metal tools"</t>
  </si>
  <si>
    <t xml:space="preserve">WP-103 (303 stainless) + WP-305 (stainless OR titanium) + WP-307 (2CR13 stainless)</t>
  </si>
  <si>
    <t xml:space="preserve">⚠️ 需确认</t>
  </si>
  <si>
    <r>
      <rPr>
        <b val="true"/>
        <sz val="10"/>
        <rFont val="Cambria"/>
        <family val="0"/>
        <charset val="1"/>
      </rPr>
      <t xml:space="preserve">🟡 P1 </t>
    </r>
    <r>
      <rPr>
        <b val="true"/>
        <sz val="10"/>
        <rFont val="DejaVu Sans"/>
        <family val="2"/>
      </rPr>
      <t xml:space="preserve">待核</t>
    </r>
  </si>
  <si>
    <r>
      <rPr>
        <i val="true"/>
        <sz val="9"/>
        <color rgb="FF555555"/>
        <rFont val="DejaVu Sans"/>
        <family val="2"/>
      </rPr>
      <t xml:space="preserve">宣称 </t>
    </r>
    <r>
      <rPr>
        <i val="true"/>
        <sz val="9"/>
        <color rgb="FF555555"/>
        <rFont val="DejaVu Sans"/>
        <family val="2"/>
        <charset val="1"/>
      </rPr>
      <t xml:space="preserve">"stainless steel throughout"</t>
    </r>
    <r>
      <rPr>
        <i val="true"/>
        <sz val="9"/>
        <color rgb="FF555555"/>
        <rFont val="DejaVu Sans"/>
        <family val="2"/>
      </rPr>
      <t xml:space="preserve">，但 </t>
    </r>
    <r>
      <rPr>
        <i val="true"/>
        <sz val="9"/>
        <color rgb="FF555555"/>
        <rFont val="DejaVu Sans"/>
        <family val="2"/>
        <charset val="1"/>
      </rPr>
      <t xml:space="preserve">WP-305 </t>
    </r>
    <r>
      <rPr>
        <i val="true"/>
        <sz val="9"/>
        <color rgb="FF555555"/>
        <rFont val="DejaVu Sans"/>
        <family val="2"/>
      </rPr>
      <t xml:space="preserve">可能是钛版本，需确认你卖哪个</t>
    </r>
  </si>
  <si>
    <t xml:space="preserve">WGS-005</t>
  </si>
  <si>
    <t xml:space="preserve">The Morning Ritual</t>
  </si>
  <si>
    <r>
      <rPr>
        <sz val="9"/>
        <rFont val="DejaVu Sans"/>
        <family val="2"/>
      </rPr>
      <t xml:space="preserve">已修正为 </t>
    </r>
    <r>
      <rPr>
        <sz val="9"/>
        <rFont val="DejaVu Sans"/>
        <family val="2"/>
        <charset val="1"/>
      </rPr>
      <t xml:space="preserve">brass-crown bolt-action pen + </t>
    </r>
    <r>
      <rPr>
        <sz val="9"/>
        <rFont val="DejaVu Sans"/>
        <family val="2"/>
      </rPr>
      <t xml:space="preserve">钛胶囊瓶 </t>
    </r>
    <r>
      <rPr>
        <sz val="9"/>
        <rFont val="DejaVu Sans"/>
        <family val="2"/>
        <charset val="1"/>
      </rPr>
      <t xml:space="preserve">+ </t>
    </r>
    <r>
      <rPr>
        <sz val="9"/>
        <rFont val="DejaVu Sans"/>
        <family val="2"/>
      </rPr>
      <t xml:space="preserve">钛 </t>
    </r>
    <r>
      <rPr>
        <sz val="9"/>
        <rFont val="DejaVu Sans"/>
        <family val="2"/>
        <charset val="1"/>
      </rPr>
      <t xml:space="preserve">EDC keychain</t>
    </r>
  </si>
  <si>
    <t xml:space="preserve">WP-101 (brass crown + aluminium) + WP-402 (pure titanium) + WP-308 (titanium + brass core)</t>
  </si>
  <si>
    <t xml:space="preserve">WGS-006</t>
  </si>
  <si>
    <t xml:space="preserve">The First Day</t>
  </si>
  <si>
    <t xml:space="preserve">"Anodised aluminium across all three — photographs as a single designed system"</t>
  </si>
  <si>
    <t xml:space="preserve">WP-301 (aluminium) + WP-104 (zinc alloy plated!) + WP-202 (aluminium)</t>
  </si>
  <si>
    <r>
      <rPr>
        <i val="true"/>
        <sz val="9"/>
        <color rgb="FF555555"/>
        <rFont val="DejaVu Sans"/>
        <family val="2"/>
      </rPr>
      <t xml:space="preserve">宣称</t>
    </r>
    <r>
      <rPr>
        <i val="true"/>
        <sz val="9"/>
        <color rgb="FF555555"/>
        <rFont val="DejaVu Sans"/>
        <family val="2"/>
        <charset val="1"/>
      </rPr>
      <t xml:space="preserve">"</t>
    </r>
    <r>
      <rPr>
        <i val="true"/>
        <sz val="9"/>
        <color rgb="FF555555"/>
        <rFont val="DejaVu Sans"/>
        <family val="2"/>
      </rPr>
      <t xml:space="preserve">全是 </t>
    </r>
    <r>
      <rPr>
        <i val="true"/>
        <sz val="9"/>
        <color rgb="FF555555"/>
        <rFont val="DejaVu Sans"/>
        <family val="2"/>
        <charset val="1"/>
      </rPr>
      <t xml:space="preserve">anodised aluminium"</t>
    </r>
    <r>
      <rPr>
        <i val="true"/>
        <sz val="9"/>
        <color rgb="FF555555"/>
        <rFont val="DejaVu Sans"/>
        <family val="2"/>
      </rPr>
      <t xml:space="preserve">，但 </t>
    </r>
    <r>
      <rPr>
        <i val="true"/>
        <sz val="9"/>
        <color rgb="FF555555"/>
        <rFont val="DejaVu Sans"/>
        <family val="2"/>
        <charset val="1"/>
      </rPr>
      <t xml:space="preserve">WP-104 </t>
    </r>
    <r>
      <rPr>
        <i val="true"/>
        <sz val="9"/>
        <color rgb="FF555555"/>
        <rFont val="DejaVu Sans"/>
        <family val="2"/>
      </rPr>
      <t xml:space="preserve">是 </t>
    </r>
    <r>
      <rPr>
        <i val="true"/>
        <sz val="9"/>
        <color rgb="FF555555"/>
        <rFont val="DejaVu Sans"/>
        <family val="2"/>
        <charset val="1"/>
      </rPr>
      <t xml:space="preserve">zinc alloy</t>
    </r>
    <r>
      <rPr>
        <i val="true"/>
        <sz val="9"/>
        <color rgb="FF555555"/>
        <rFont val="DejaVu Sans"/>
        <family val="2"/>
      </rPr>
      <t xml:space="preserve">（电镀），不是 </t>
    </r>
    <r>
      <rPr>
        <i val="true"/>
        <sz val="9"/>
        <color rgb="FF555555"/>
        <rFont val="DejaVu Sans"/>
        <family val="2"/>
        <charset val="1"/>
      </rPr>
      <t xml:space="preserve">aluminium</t>
    </r>
  </si>
  <si>
    <t xml:space="preserve">WGS-007</t>
  </si>
  <si>
    <t xml:space="preserve">The Thinking Desk</t>
  </si>
  <si>
    <t xml:space="preserve">"Brass for the hand, Steel for the drink" / "Solid brass changes with handling"</t>
  </si>
  <si>
    <t xml:space="preserve">WP-105 (solid brass) + WP-206 (solid brass) + WP-407 (stainless steel)</t>
  </si>
  <si>
    <r>
      <rPr>
        <i val="true"/>
        <sz val="9"/>
        <color rgb="FF555555"/>
        <rFont val="DejaVu Sans"/>
        <family val="2"/>
      </rPr>
      <t xml:space="preserve">两件黄铜 </t>
    </r>
    <r>
      <rPr>
        <i val="true"/>
        <sz val="9"/>
        <color rgb="FF555555"/>
        <rFont val="DejaVu Sans"/>
        <family val="2"/>
        <charset val="1"/>
      </rPr>
      <t xml:space="preserve">+ </t>
    </r>
    <r>
      <rPr>
        <i val="true"/>
        <sz val="9"/>
        <color rgb="FF555555"/>
        <rFont val="DejaVu Sans"/>
        <family val="2"/>
      </rPr>
      <t xml:space="preserve">一件不锈钢，叙事准确</t>
    </r>
  </si>
  <si>
    <t xml:space="preserve">WGS-008</t>
  </si>
  <si>
    <t xml:space="preserve">The Quartet</t>
  </si>
  <si>
    <t xml:space="preserve">"Four metals — brass, titanium, aluminium, stainless steel"</t>
  </si>
  <si>
    <t xml:space="preserve">WP-106 (solid brass) + WP-309 (stainless) + WP-208 (aluminium) + WP-408 (pure titanium)</t>
  </si>
  <si>
    <t xml:space="preserve">四种金属各对应一件，叙事精准</t>
  </si>
  <si>
    <t xml:space="preserve">基于审计结果的修正待办（按优先级）</t>
  </si>
  <si>
    <r>
      <rPr>
        <i val="true"/>
        <sz val="9"/>
        <color rgb="FF666666"/>
        <rFont val="DejaVu Sans"/>
        <family val="2"/>
      </rPr>
      <t xml:space="preserve">本表是基于初步分析的 </t>
    </r>
    <r>
      <rPr>
        <i val="true"/>
        <sz val="9"/>
        <color rgb="FF666666"/>
        <rFont val="DejaVu Sans"/>
        <family val="2"/>
        <charset val="1"/>
      </rPr>
      <t xml:space="preserve">P0/P1 </t>
    </r>
    <r>
      <rPr>
        <i val="true"/>
        <sz val="9"/>
        <color rgb="FF666666"/>
        <rFont val="DejaVu Sans"/>
        <family val="2"/>
      </rPr>
      <t xml:space="preserve">待办清单。你按 </t>
    </r>
    <r>
      <rPr>
        <i val="true"/>
        <sz val="9"/>
        <color rgb="FF666666"/>
        <rFont val="DejaVu Sans"/>
        <family val="2"/>
        <charset val="1"/>
      </rPr>
      <t xml:space="preserve">SKU </t>
    </r>
    <r>
      <rPr>
        <i val="true"/>
        <sz val="9"/>
        <color rgb="FF666666"/>
        <rFont val="DejaVu Sans"/>
        <family val="2"/>
      </rPr>
      <t xml:space="preserve">审计填完后可手动复制最终结果到这里。</t>
    </r>
  </si>
  <si>
    <t xml:space="preserve">优先级</t>
  </si>
  <si>
    <t xml:space="preserve">类型</t>
  </si>
  <si>
    <r>
      <rPr>
        <b val="true"/>
        <sz val="10"/>
        <color rgb="FFFFFFFF"/>
        <rFont val="Arial"/>
        <family val="0"/>
        <charset val="1"/>
      </rPr>
      <t xml:space="preserve">SKU / </t>
    </r>
    <r>
      <rPr>
        <b val="true"/>
        <sz val="10"/>
        <color rgb="FFFFFFFF"/>
        <rFont val="DejaVu Sans"/>
        <family val="2"/>
      </rPr>
      <t xml:space="preserve">套件</t>
    </r>
  </si>
  <si>
    <t xml:space="preserve">问题描述</t>
  </si>
  <si>
    <t xml:space="preserve">修正动作</t>
  </si>
  <si>
    <t xml:space="preserve">状态</t>
  </si>
  <si>
    <t xml:space="preserve">🔴 P0</t>
  </si>
  <si>
    <t xml:space="preserve">套件叙事</t>
  </si>
  <si>
    <t xml:space="preserve">WGS-001 The Desk Starter</t>
  </si>
  <si>
    <r>
      <rPr>
        <sz val="9"/>
        <rFont val="DejaVu Sans"/>
        <family val="2"/>
      </rPr>
      <t xml:space="preserve">宣称 </t>
    </r>
    <r>
      <rPr>
        <sz val="9"/>
        <rFont val="DejaVu Sans"/>
        <family val="2"/>
        <charset val="1"/>
      </rPr>
      <t xml:space="preserve">"anodised aluminium across all three"</t>
    </r>
    <r>
      <rPr>
        <sz val="9"/>
        <rFont val="DejaVu Sans"/>
        <family val="2"/>
      </rPr>
      <t xml:space="preserve">，实际只 </t>
    </r>
    <r>
      <rPr>
        <sz val="9"/>
        <rFont val="DejaVu Sans"/>
        <family val="2"/>
        <charset val="1"/>
      </rPr>
      <t xml:space="preserve">WP-102 </t>
    </r>
    <r>
      <rPr>
        <sz val="9"/>
        <rFont val="DejaVu Sans"/>
        <family val="2"/>
      </rPr>
      <t xml:space="preserve">是；</t>
    </r>
    <r>
      <rPr>
        <sz val="9"/>
        <rFont val="DejaVu Sans"/>
        <family val="2"/>
        <charset val="1"/>
      </rPr>
      <t xml:space="preserve">WP-203 </t>
    </r>
    <r>
      <rPr>
        <sz val="9"/>
        <rFont val="DejaVu Sans"/>
        <family val="2"/>
      </rPr>
      <t xml:space="preserve">是 </t>
    </r>
    <r>
      <rPr>
        <sz val="9"/>
        <rFont val="DejaVu Sans"/>
        <family val="2"/>
        <charset val="1"/>
      </rPr>
      <t xml:space="preserve">plated zinc</t>
    </r>
  </si>
  <si>
    <r>
      <rPr>
        <sz val="9"/>
        <rFont val="DejaVu Sans"/>
        <family val="2"/>
      </rPr>
      <t xml:space="preserve">修改 </t>
    </r>
    <r>
      <rPr>
        <sz val="9"/>
        <rFont val="DejaVu Sans"/>
        <family val="2"/>
        <charset val="1"/>
      </rPr>
      <t xml:space="preserve">sellingPoint </t>
    </r>
    <r>
      <rPr>
        <sz val="9"/>
        <rFont val="DejaVu Sans"/>
        <family val="2"/>
      </rPr>
      <t xml:space="preserve">标题</t>
    </r>
    <r>
      <rPr>
        <sz val="9"/>
        <rFont val="DejaVu Sans"/>
        <family val="2"/>
        <charset val="1"/>
      </rPr>
      <t xml:space="preserve">/</t>
    </r>
    <r>
      <rPr>
        <sz val="9"/>
        <rFont val="DejaVu Sans"/>
        <family val="2"/>
      </rPr>
      <t xml:space="preserve">描述：诚实反映三种材料 </t>
    </r>
    <r>
      <rPr>
        <sz val="9"/>
        <rFont val="DejaVu Sans"/>
        <family val="2"/>
        <charset val="1"/>
      </rPr>
      <t xml:space="preserve">(anodised aluminium pen + electroplated zinc opener + custom metal bookmark)</t>
    </r>
  </si>
  <si>
    <t xml:space="preserve">⏳ 待执行</t>
  </si>
  <si>
    <t xml:space="preserve">WGS-006 The First Day</t>
  </si>
  <si>
    <r>
      <rPr>
        <sz val="9"/>
        <rFont val="DejaVu Sans"/>
        <family val="2"/>
      </rPr>
      <t xml:space="preserve">宣称 </t>
    </r>
    <r>
      <rPr>
        <sz val="9"/>
        <rFont val="DejaVu Sans"/>
        <family val="2"/>
        <charset val="1"/>
      </rPr>
      <t xml:space="preserve">"Anodised aluminium across all three"</t>
    </r>
    <r>
      <rPr>
        <sz val="9"/>
        <rFont val="DejaVu Sans"/>
        <family val="2"/>
      </rPr>
      <t xml:space="preserve">，但 </t>
    </r>
    <r>
      <rPr>
        <sz val="9"/>
        <rFont val="DejaVu Sans"/>
        <family val="2"/>
        <charset val="1"/>
      </rPr>
      <t xml:space="preserve">WP-104 </t>
    </r>
    <r>
      <rPr>
        <sz val="9"/>
        <rFont val="DejaVu Sans"/>
        <family val="2"/>
      </rPr>
      <t xml:space="preserve">是 </t>
    </r>
    <r>
      <rPr>
        <sz val="9"/>
        <rFont val="DejaVu Sans"/>
        <family val="2"/>
        <charset val="1"/>
      </rPr>
      <t xml:space="preserve">zinc alloy electroplated</t>
    </r>
  </si>
  <si>
    <r>
      <rPr>
        <sz val="9"/>
        <rFont val="DejaVu Sans"/>
        <family val="2"/>
      </rPr>
      <t xml:space="preserve">修改 </t>
    </r>
    <r>
      <rPr>
        <sz val="9"/>
        <rFont val="DejaVu Sans"/>
        <family val="2"/>
        <charset val="1"/>
      </rPr>
      <t xml:space="preserve">sellingPoint </t>
    </r>
    <r>
      <rPr>
        <sz val="9"/>
        <rFont val="DejaVu Sans"/>
        <family val="2"/>
      </rPr>
      <t xml:space="preserve">第 </t>
    </r>
    <r>
      <rPr>
        <sz val="9"/>
        <rFont val="DejaVu Sans"/>
        <family val="2"/>
        <charset val="1"/>
      </rPr>
      <t xml:space="preserve">3 </t>
    </r>
    <r>
      <rPr>
        <sz val="9"/>
        <rFont val="DejaVu Sans"/>
        <family val="2"/>
      </rPr>
      <t xml:space="preserve">点：明确指出 </t>
    </r>
    <r>
      <rPr>
        <sz val="9"/>
        <rFont val="DejaVu Sans"/>
        <family val="2"/>
        <charset val="1"/>
      </rPr>
      <t xml:space="preserve">6-in-1 </t>
    </r>
    <r>
      <rPr>
        <sz val="9"/>
        <rFont val="DejaVu Sans"/>
        <family val="2"/>
      </rPr>
      <t xml:space="preserve">笔是 </t>
    </r>
    <r>
      <rPr>
        <sz val="9"/>
        <rFont val="DejaVu Sans"/>
        <family val="2"/>
        <charset val="1"/>
      </rPr>
      <t xml:space="preserve">zinc alloy electroplated</t>
    </r>
    <r>
      <rPr>
        <sz val="9"/>
        <rFont val="DejaVu Sans"/>
        <family val="2"/>
      </rPr>
      <t xml:space="preserve">，另两件是 </t>
    </r>
    <r>
      <rPr>
        <sz val="9"/>
        <rFont val="DejaVu Sans"/>
        <family val="2"/>
        <charset val="1"/>
      </rPr>
      <t xml:space="preserve">aluminium</t>
    </r>
  </si>
  <si>
    <t xml:space="preserve">🟡 P1</t>
  </si>
  <si>
    <t xml:space="preserve">套件确认</t>
  </si>
  <si>
    <t xml:space="preserve">WGS-004 The Field EDC</t>
  </si>
  <si>
    <r>
      <rPr>
        <sz val="9"/>
        <rFont val="DejaVu Sans"/>
        <family val="2"/>
      </rPr>
      <t xml:space="preserve">宣称 </t>
    </r>
    <r>
      <rPr>
        <sz val="9"/>
        <rFont val="DejaVu Sans"/>
        <family val="2"/>
        <charset val="1"/>
      </rPr>
      <t xml:space="preserve">"Stainless steel throughout"</t>
    </r>
    <r>
      <rPr>
        <sz val="9"/>
        <rFont val="DejaVu Sans"/>
        <family val="2"/>
      </rPr>
      <t xml:space="preserve">，但 </t>
    </r>
    <r>
      <rPr>
        <sz val="9"/>
        <rFont val="DejaVu Sans"/>
        <family val="2"/>
        <charset val="1"/>
      </rPr>
      <t xml:space="preserve">WP-305 </t>
    </r>
    <r>
      <rPr>
        <sz val="9"/>
        <rFont val="DejaVu Sans"/>
        <family val="2"/>
      </rPr>
      <t xml:space="preserve">可能有 </t>
    </r>
    <r>
      <rPr>
        <sz val="9"/>
        <rFont val="DejaVu Sans"/>
        <family val="2"/>
        <charset val="1"/>
      </rPr>
      <t xml:space="preserve">titanium </t>
    </r>
    <r>
      <rPr>
        <sz val="9"/>
        <rFont val="DejaVu Sans"/>
        <family val="2"/>
      </rPr>
      <t xml:space="preserve">版本</t>
    </r>
  </si>
  <si>
    <r>
      <rPr>
        <sz val="9"/>
        <rFont val="DejaVu Sans"/>
        <family val="2"/>
      </rPr>
      <t xml:space="preserve">确认你卖的是 </t>
    </r>
    <r>
      <rPr>
        <sz val="9"/>
        <rFont val="DejaVu Sans"/>
        <family val="2"/>
        <charset val="1"/>
      </rPr>
      <t xml:space="preserve">stainless </t>
    </r>
    <r>
      <rPr>
        <sz val="9"/>
        <rFont val="DejaVu Sans"/>
        <family val="2"/>
      </rPr>
      <t xml:space="preserve">还是 </t>
    </r>
    <r>
      <rPr>
        <sz val="9"/>
        <rFont val="DejaVu Sans"/>
        <family val="2"/>
        <charset val="1"/>
      </rPr>
      <t xml:space="preserve">titanium </t>
    </r>
    <r>
      <rPr>
        <sz val="9"/>
        <rFont val="DejaVu Sans"/>
        <family val="2"/>
      </rPr>
      <t xml:space="preserve">版本，对应修正套件描述</t>
    </r>
  </si>
  <si>
    <r>
      <rPr>
        <b val="true"/>
        <sz val="10"/>
        <rFont val="DejaVu Sans"/>
        <family val="2"/>
      </rPr>
      <t xml:space="preserve">⏳ 待你确认 </t>
    </r>
    <r>
      <rPr>
        <b val="true"/>
        <sz val="10"/>
        <rFont val="DejaVu Sans"/>
        <family val="2"/>
        <charset val="1"/>
      </rPr>
      <t xml:space="preserve">WP-305 </t>
    </r>
    <r>
      <rPr>
        <b val="true"/>
        <sz val="10"/>
        <rFont val="DejaVu Sans"/>
        <family val="2"/>
      </rPr>
      <t xml:space="preserve">实际版本</t>
    </r>
  </si>
  <si>
    <t xml:space="preserve">单品确认</t>
  </si>
  <si>
    <t xml:space="preserve">WP-204 Propeller Letter Opener</t>
  </si>
  <si>
    <r>
      <rPr>
        <sz val="9"/>
        <rFont val="DejaVu Sans"/>
        <family val="2"/>
      </rPr>
      <t xml:space="preserve">材料是 </t>
    </r>
    <r>
      <rPr>
        <sz val="9"/>
        <rFont val="DejaVu Sans"/>
        <family val="2"/>
        <charset val="1"/>
      </rPr>
      <t xml:space="preserve">zinc alloy</t>
    </r>
    <r>
      <rPr>
        <sz val="9"/>
        <rFont val="DejaVu Sans"/>
        <family val="2"/>
      </rPr>
      <t xml:space="preserve">（已在 </t>
    </r>
    <r>
      <rPr>
        <sz val="9"/>
        <rFont val="DejaVu Sans"/>
        <family val="2"/>
        <charset val="1"/>
      </rPr>
      <t xml:space="preserve">catalogue </t>
    </r>
    <r>
      <rPr>
        <sz val="9"/>
        <rFont val="DejaVu Sans"/>
        <family val="2"/>
      </rPr>
      <t xml:space="preserve">修正），但 </t>
    </r>
    <r>
      <rPr>
        <sz val="9"/>
        <rFont val="DejaVu Sans"/>
        <family val="2"/>
        <charset val="1"/>
      </rPr>
      <t xml:space="preserve">WGS-002 </t>
    </r>
    <r>
      <rPr>
        <sz val="9"/>
        <rFont val="DejaVu Sans"/>
        <family val="2"/>
      </rPr>
      <t xml:space="preserve">旧文案曾误标 </t>
    </r>
    <r>
      <rPr>
        <sz val="9"/>
        <rFont val="DejaVu Sans"/>
        <family val="2"/>
        <charset val="1"/>
      </rPr>
      <t xml:space="preserve">brass</t>
    </r>
    <r>
      <rPr>
        <sz val="9"/>
        <rFont val="DejaVu Sans"/>
        <family val="2"/>
      </rPr>
      <t xml:space="preserve">，需全面 </t>
    </r>
    <r>
      <rPr>
        <sz val="9"/>
        <rFont val="DejaVu Sans"/>
        <family val="2"/>
        <charset val="1"/>
      </rPr>
      <t xml:space="preserve">grep</t>
    </r>
  </si>
  <si>
    <r>
      <rPr>
        <sz val="9"/>
        <rFont val="DejaVu Sans"/>
        <family val="2"/>
      </rPr>
      <t xml:space="preserve">搜索代码 </t>
    </r>
    <r>
      <rPr>
        <sz val="9"/>
        <rFont val="DejaVu Sans"/>
        <family val="2"/>
        <charset val="1"/>
      </rPr>
      <t xml:space="preserve">/ catalogue / cap sheet </t>
    </r>
    <r>
      <rPr>
        <sz val="9"/>
        <rFont val="DejaVu Sans"/>
        <family val="2"/>
      </rPr>
      <t xml:space="preserve">中所有 </t>
    </r>
    <r>
      <rPr>
        <sz val="9"/>
        <rFont val="DejaVu Sans"/>
        <family val="2"/>
        <charset val="1"/>
      </rPr>
      <t xml:space="preserve">WP-204 </t>
    </r>
    <r>
      <rPr>
        <sz val="9"/>
        <rFont val="DejaVu Sans"/>
        <family val="2"/>
      </rPr>
      <t xml:space="preserve">出现位置，确保统一为 </t>
    </r>
    <r>
      <rPr>
        <sz val="9"/>
        <rFont val="DejaVu Sans"/>
        <family val="2"/>
        <charset val="1"/>
      </rPr>
      <t xml:space="preserve">zinc alloy</t>
    </r>
  </si>
  <si>
    <t xml:space="preserve">单品宣称</t>
  </si>
  <si>
    <t xml:space="preserve">WP-205 Custom Metal Bookmark</t>
  </si>
  <si>
    <r>
      <rPr>
        <sz val="9"/>
        <rFont val="DejaVu Sans"/>
        <family val="2"/>
      </rPr>
      <t xml:space="preserve">宣称 </t>
    </r>
    <r>
      <rPr>
        <sz val="9"/>
        <rFont val="DejaVu Sans"/>
        <family val="2"/>
        <charset val="1"/>
      </rPr>
      <t xml:space="preserve">brass / stainless / zinc </t>
    </r>
    <r>
      <rPr>
        <sz val="9"/>
        <rFont val="DejaVu Sans"/>
        <family val="2"/>
      </rPr>
      <t xml:space="preserve">三选一，但具体每张订单是哪个？</t>
    </r>
  </si>
  <si>
    <r>
      <rPr>
        <sz val="9"/>
        <rFont val="DejaVu Sans"/>
        <family val="2"/>
      </rPr>
      <t xml:space="preserve">在网站产品页 </t>
    </r>
    <r>
      <rPr>
        <sz val="9"/>
        <rFont val="DejaVu Sans"/>
        <family val="2"/>
        <charset val="1"/>
      </rPr>
      <t xml:space="preserve">+ catalogue </t>
    </r>
    <r>
      <rPr>
        <sz val="9"/>
        <rFont val="DejaVu Sans"/>
        <family val="2"/>
      </rPr>
      <t xml:space="preserve">明确</t>
    </r>
    <r>
      <rPr>
        <sz val="9"/>
        <rFont val="DejaVu Sans"/>
        <family val="2"/>
        <charset val="1"/>
      </rPr>
      <t xml:space="preserve">"</t>
    </r>
    <r>
      <rPr>
        <sz val="9"/>
        <rFont val="DejaVu Sans"/>
        <family val="2"/>
      </rPr>
      <t xml:space="preserve">客户下单时指定材质</t>
    </r>
    <r>
      <rPr>
        <sz val="9"/>
        <rFont val="DejaVu Sans"/>
        <family val="2"/>
        <charset val="1"/>
      </rPr>
      <t xml:space="preserve">"</t>
    </r>
    <r>
      <rPr>
        <sz val="9"/>
        <rFont val="DejaVu Sans"/>
        <family val="2"/>
      </rPr>
      <t xml:space="preserve">的逻辑</t>
    </r>
  </si>
  <si>
    <t xml:space="preserve">🟢 P2</t>
  </si>
  <si>
    <r>
      <rPr>
        <sz val="9"/>
        <rFont val="DejaVu Sans"/>
        <family val="2"/>
      </rPr>
      <t xml:space="preserve">边缘 </t>
    </r>
    <r>
      <rPr>
        <sz val="9"/>
        <rFont val="DejaVu Sans"/>
        <family val="2"/>
        <charset val="1"/>
      </rPr>
      <t xml:space="preserve">SKU</t>
    </r>
  </si>
  <si>
    <t xml:space="preserve">WP-207 Carbon Fiber Fidget Stick</t>
  </si>
  <si>
    <r>
      <rPr>
        <sz val="9"/>
        <rFont val="DejaVu Sans"/>
        <family val="2"/>
      </rPr>
      <t xml:space="preserve">碳纤维不是金属，违反</t>
    </r>
    <r>
      <rPr>
        <sz val="9"/>
        <rFont val="DejaVu Sans"/>
        <family val="2"/>
        <charset val="1"/>
      </rPr>
      <t xml:space="preserve">"</t>
    </r>
    <r>
      <rPr>
        <sz val="9"/>
        <rFont val="DejaVu Sans"/>
        <family val="2"/>
      </rPr>
      <t xml:space="preserve">金属专家</t>
    </r>
    <r>
      <rPr>
        <sz val="9"/>
        <rFont val="DejaVu Sans"/>
        <family val="2"/>
        <charset val="1"/>
      </rPr>
      <t xml:space="preserve">"</t>
    </r>
    <r>
      <rPr>
        <sz val="9"/>
        <rFont val="DejaVu Sans"/>
        <family val="2"/>
      </rPr>
      <t xml:space="preserve">定位（已知）</t>
    </r>
  </si>
  <si>
    <r>
      <rPr>
        <sz val="9"/>
        <rFont val="DejaVu Sans"/>
        <family val="2"/>
      </rPr>
      <t xml:space="preserve">保持现状（不入套件），考虑在产品页加注释 </t>
    </r>
    <r>
      <rPr>
        <sz val="9"/>
        <rFont val="DejaVu Sans"/>
        <family val="2"/>
        <charset val="1"/>
      </rPr>
      <t xml:space="preserve">"complementary non-metal accessory"</t>
    </r>
  </si>
  <si>
    <t xml:space="preserve">⏸️ 持续观察</t>
  </si>
  <si>
    <t xml:space="preserve">工厂报价审计</t>
  </si>
  <si>
    <r>
      <rPr>
        <b val="true"/>
        <sz val="10"/>
        <rFont val="DejaVu Sans"/>
        <family val="2"/>
      </rPr>
      <t xml:space="preserve">所有 </t>
    </r>
    <r>
      <rPr>
        <b val="true"/>
        <sz val="10"/>
        <rFont val="DejaVu Sans"/>
        <family val="2"/>
        <charset val="1"/>
      </rPr>
      <t xml:space="preserve">28 </t>
    </r>
    <r>
      <rPr>
        <b val="true"/>
        <sz val="10"/>
        <rFont val="DejaVu Sans"/>
        <family val="2"/>
      </rPr>
      <t xml:space="preserve">个 </t>
    </r>
    <r>
      <rPr>
        <b val="true"/>
        <sz val="10"/>
        <rFont val="DejaVu Sans"/>
        <family val="2"/>
        <charset val="1"/>
      </rPr>
      <t xml:space="preserve">SKU</t>
    </r>
  </si>
  <si>
    <r>
      <rPr>
        <sz val="9"/>
        <rFont val="DejaVu Sans"/>
        <family val="2"/>
      </rPr>
      <t xml:space="preserve">需要核对每个 </t>
    </r>
    <r>
      <rPr>
        <sz val="9"/>
        <rFont val="DejaVu Sans"/>
        <family val="2"/>
        <charset val="1"/>
      </rPr>
      <t xml:space="preserve">SKU </t>
    </r>
    <r>
      <rPr>
        <sz val="9"/>
        <rFont val="DejaVu Sans"/>
        <family val="2"/>
      </rPr>
      <t xml:space="preserve">的工厂 </t>
    </r>
    <r>
      <rPr>
        <sz val="9"/>
        <rFont val="DejaVu Sans"/>
        <family val="2"/>
        <charset val="1"/>
      </rPr>
      <t xml:space="preserve">PI / </t>
    </r>
    <r>
      <rPr>
        <sz val="9"/>
        <rFont val="DejaVu Sans"/>
        <family val="2"/>
      </rPr>
      <t xml:space="preserve">报价单上的真实材质</t>
    </r>
  </si>
  <si>
    <r>
      <rPr>
        <sz val="9"/>
        <rFont val="DejaVu Sans"/>
        <family val="2"/>
      </rPr>
      <t xml:space="preserve">本周内拿到所有工厂的 </t>
    </r>
    <r>
      <rPr>
        <sz val="9"/>
        <rFont val="DejaVu Sans"/>
        <family val="2"/>
        <charset val="1"/>
      </rPr>
      <t xml:space="preserve">PI</t>
    </r>
    <r>
      <rPr>
        <sz val="9"/>
        <rFont val="DejaVu Sans"/>
        <family val="2"/>
      </rPr>
      <t xml:space="preserve">，逐项核对到 </t>
    </r>
    <r>
      <rPr>
        <sz val="9"/>
        <rFont val="DejaVu Sans"/>
        <family val="2"/>
        <charset val="1"/>
      </rPr>
      <t xml:space="preserve">Sheet 1 </t>
    </r>
    <r>
      <rPr>
        <sz val="9"/>
        <rFont val="DejaVu Sans"/>
        <family val="2"/>
      </rPr>
      <t xml:space="preserve">的 </t>
    </r>
    <r>
      <rPr>
        <sz val="9"/>
        <rFont val="DejaVu Sans"/>
        <family val="2"/>
        <charset val="1"/>
      </rPr>
      <t xml:space="preserve">F </t>
    </r>
    <r>
      <rPr>
        <sz val="9"/>
        <rFont val="DejaVu Sans"/>
        <family val="2"/>
      </rPr>
      <t xml:space="preserve">列</t>
    </r>
  </si>
  <si>
    <t xml:space="preserve">⏳ 待你填工厂数据</t>
  </si>
  <si>
    <r>
      <rPr>
        <sz val="9"/>
        <rFont val="Arial"/>
        <family val="0"/>
        <charset val="1"/>
      </rPr>
      <t xml:space="preserve">SOP </t>
    </r>
    <r>
      <rPr>
        <sz val="9"/>
        <rFont val="DejaVu Sans"/>
        <family val="2"/>
      </rPr>
      <t xml:space="preserve">制定</t>
    </r>
  </si>
  <si>
    <r>
      <rPr>
        <b val="true"/>
        <sz val="10"/>
        <rFont val="DejaVu Sans"/>
        <family val="2"/>
      </rPr>
      <t xml:space="preserve">所有未来新 </t>
    </r>
    <r>
      <rPr>
        <b val="true"/>
        <sz val="10"/>
        <rFont val="DejaVu Sans"/>
        <family val="2"/>
        <charset val="1"/>
      </rPr>
      <t xml:space="preserve">SKU</t>
    </r>
  </si>
  <si>
    <r>
      <rPr>
        <sz val="9"/>
        <rFont val="DejaVu Sans"/>
        <family val="2"/>
      </rPr>
      <t xml:space="preserve">建立</t>
    </r>
    <r>
      <rPr>
        <sz val="9"/>
        <rFont val="DejaVu Sans"/>
        <family val="2"/>
        <charset val="1"/>
      </rPr>
      <t xml:space="preserve">"</t>
    </r>
    <r>
      <rPr>
        <sz val="9"/>
        <rFont val="DejaVu Sans"/>
        <family val="2"/>
      </rPr>
      <t xml:space="preserve">任何 </t>
    </r>
    <r>
      <rPr>
        <sz val="9"/>
        <rFont val="DejaVu Sans"/>
        <family val="2"/>
        <charset val="1"/>
      </rPr>
      <t xml:space="preserve">solid X </t>
    </r>
    <r>
      <rPr>
        <sz val="9"/>
        <rFont val="DejaVu Sans"/>
        <family val="2"/>
      </rPr>
      <t xml:space="preserve">宣称必须 </t>
    </r>
    <r>
      <rPr>
        <sz val="9"/>
        <rFont val="DejaVu Sans"/>
        <family val="2"/>
        <charset val="1"/>
      </rPr>
      <t xml:space="preserve">cross-check </t>
    </r>
    <r>
      <rPr>
        <sz val="9"/>
        <rFont val="DejaVu Sans"/>
        <family val="2"/>
      </rPr>
      <t xml:space="preserve">工厂报价单</t>
    </r>
    <r>
      <rPr>
        <sz val="9"/>
        <rFont val="DejaVu Sans"/>
        <family val="2"/>
        <charset val="1"/>
      </rPr>
      <t xml:space="preserve">"</t>
    </r>
    <r>
      <rPr>
        <sz val="9"/>
        <rFont val="DejaVu Sans"/>
        <family val="2"/>
      </rPr>
      <t xml:space="preserve">的 </t>
    </r>
    <r>
      <rPr>
        <sz val="9"/>
        <rFont val="DejaVu Sans"/>
        <family val="2"/>
        <charset val="1"/>
      </rPr>
      <t xml:space="preserve">SOP</t>
    </r>
  </si>
  <si>
    <r>
      <rPr>
        <sz val="9"/>
        <rFont val="DejaVu Sans"/>
        <family val="2"/>
      </rPr>
      <t xml:space="preserve">加到你的 </t>
    </r>
    <r>
      <rPr>
        <sz val="9"/>
        <rFont val="DejaVu Sans"/>
        <family val="2"/>
        <charset val="1"/>
      </rPr>
      <t xml:space="preserve">Wischos_</t>
    </r>
    <r>
      <rPr>
        <sz val="9"/>
        <rFont val="DejaVu Sans"/>
        <family val="2"/>
      </rPr>
      <t xml:space="preserve">产品策略 </t>
    </r>
    <r>
      <rPr>
        <sz val="9"/>
        <rFont val="DejaVu Sans"/>
        <family val="2"/>
        <charset val="1"/>
      </rPr>
      <t xml:space="preserve">MD </t>
    </r>
    <r>
      <rPr>
        <sz val="9"/>
        <rFont val="DejaVu Sans"/>
        <family val="2"/>
      </rPr>
      <t xml:space="preserve">附录里</t>
    </r>
  </si>
</sst>
</file>

<file path=xl/styles.xml><?xml version="1.0" encoding="utf-8"?>
<styleSheet xmlns="http://schemas.openxmlformats.org/spreadsheetml/2006/main">
  <numFmts count="1">
    <numFmt numFmtId="164" formatCode="General"/>
  </numFmts>
  <fonts count="2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B87333"/>
      <name val="DejaVu Sans"/>
      <family val="2"/>
    </font>
    <font>
      <b val="true"/>
      <sz val="14"/>
      <color rgb="FFB87333"/>
      <name val="DejaVu Sans"/>
      <family val="2"/>
      <charset val="1"/>
    </font>
    <font>
      <b val="true"/>
      <sz val="10"/>
      <name val="DejaVu Sans"/>
      <family val="2"/>
    </font>
    <font>
      <i val="true"/>
      <sz val="9"/>
      <color rgb="FF666666"/>
      <name val="Cambria"/>
      <family val="0"/>
      <charset val="1"/>
    </font>
    <font>
      <i val="true"/>
      <sz val="9"/>
      <color rgb="FF666666"/>
      <name val="DejaVu Sans"/>
      <family val="2"/>
    </font>
    <font>
      <b val="true"/>
      <sz val="10"/>
      <color rgb="FFFFFFFF"/>
      <name val="Arial"/>
      <family val="0"/>
      <charset val="1"/>
    </font>
    <font>
      <b val="true"/>
      <sz val="10"/>
      <color rgb="FFFFFFFF"/>
      <name val="DejaVu Sans"/>
      <family val="2"/>
    </font>
    <font>
      <b val="true"/>
      <sz val="10"/>
      <color rgb="FFFFFFFF"/>
      <name val="DejaVu Sans"/>
      <family val="2"/>
      <charset val="1"/>
    </font>
    <font>
      <b val="true"/>
      <sz val="10"/>
      <name val="Arial"/>
      <family val="0"/>
      <charset val="1"/>
    </font>
    <font>
      <sz val="9"/>
      <name val="Arial"/>
      <family val="0"/>
      <charset val="1"/>
    </font>
    <font>
      <sz val="9"/>
      <name val="DejaVu Sans"/>
      <family val="2"/>
    </font>
    <font>
      <b val="true"/>
      <sz val="10"/>
      <color rgb="FF0000FF"/>
      <name val="Arial"/>
      <family val="0"/>
      <charset val="1"/>
    </font>
    <font>
      <b val="true"/>
      <sz val="10"/>
      <color rgb="FF0000FF"/>
      <name val="DejaVu Sans"/>
      <family val="2"/>
    </font>
    <font>
      <i val="true"/>
      <sz val="9"/>
      <color rgb="FF666666"/>
      <name val="DejaVu Sans"/>
      <family val="2"/>
      <charset val="1"/>
    </font>
    <font>
      <i val="true"/>
      <sz val="9"/>
      <color rgb="FF666666"/>
      <name val="Arial"/>
      <family val="0"/>
      <charset val="1"/>
    </font>
    <font>
      <b val="true"/>
      <sz val="10"/>
      <name val="Cambria"/>
      <family val="0"/>
      <charset val="1"/>
    </font>
    <font>
      <i val="true"/>
      <sz val="9"/>
      <color rgb="FF555555"/>
      <name val="DejaVu Sans"/>
      <family val="2"/>
    </font>
    <font>
      <i val="true"/>
      <sz val="9"/>
      <color rgb="FF555555"/>
      <name val="DejaVu Sans"/>
      <family val="2"/>
      <charset val="1"/>
    </font>
    <font>
      <sz val="9"/>
      <name val="DejaVu Sans"/>
      <family val="2"/>
      <charset val="1"/>
    </font>
    <font>
      <b val="true"/>
      <sz val="10"/>
      <name val="DejaVu Sans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B87333"/>
        <bgColor rgb="FF808080"/>
      </patternFill>
    </fill>
    <fill>
      <patternFill patternType="solid">
        <fgColor rgb="FFFFFFCC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9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3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5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6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9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0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4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9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9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B87333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555555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3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10"/>
    <col collapsed="false" customWidth="true" hidden="false" outlineLevel="0" max="2" min="2" style="1" width="32"/>
    <col collapsed="false" customWidth="true" hidden="false" outlineLevel="0" max="3" min="3" style="1" width="38"/>
    <col collapsed="false" customWidth="true" hidden="false" outlineLevel="0" max="4" min="4" style="1" width="32"/>
    <col collapsed="false" customWidth="true" hidden="false" outlineLevel="0" max="5" min="5" style="1" width="24"/>
    <col collapsed="false" customWidth="true" hidden="false" outlineLevel="0" max="6" min="6" style="1" width="32"/>
    <col collapsed="false" customWidth="true" hidden="false" outlineLevel="0" max="7" min="7" style="1" width="24"/>
    <col collapsed="false" customWidth="true" hidden="false" outlineLevel="0" max="8" min="8" style="1" width="12"/>
    <col collapsed="false" customWidth="true" hidden="false" outlineLevel="0" max="9" min="9" style="1" width="24"/>
    <col collapsed="false" customWidth="true" hidden="false" outlineLevel="0" max="10" min="10" style="1" width="14"/>
    <col collapsed="false" customWidth="true" hidden="false" outlineLevel="0" max="11" min="11" style="1" width="22"/>
  </cols>
  <sheetData>
    <row r="1" customFormat="false" ht="17.25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</row>
    <row r="3" customFormat="false" ht="15" hidden="false" customHeight="true" outlineLevel="0" collapsed="false">
      <c r="A3" s="3" t="s">
        <v>1</v>
      </c>
      <c r="B3" s="4" t="s">
        <v>2</v>
      </c>
      <c r="C3" s="4"/>
      <c r="D3" s="4"/>
      <c r="E3" s="4"/>
      <c r="F3" s="4"/>
      <c r="G3" s="4"/>
      <c r="H3" s="4"/>
      <c r="I3" s="4"/>
      <c r="J3" s="4"/>
      <c r="K3" s="4"/>
    </row>
    <row r="5" customFormat="false" ht="23.25" hidden="false" customHeight="true" outlineLevel="0" collapsed="false">
      <c r="A5" s="5" t="s">
        <v>3</v>
      </c>
      <c r="B5" s="6" t="s">
        <v>4</v>
      </c>
      <c r="C5" s="6" t="s">
        <v>5</v>
      </c>
      <c r="D5" s="5" t="s">
        <v>6</v>
      </c>
      <c r="E5" s="5" t="s">
        <v>7</v>
      </c>
      <c r="F5" s="6" t="s">
        <v>8</v>
      </c>
      <c r="G5" s="6" t="s">
        <v>9</v>
      </c>
      <c r="H5" s="6" t="s">
        <v>10</v>
      </c>
      <c r="I5" s="6" t="s">
        <v>11</v>
      </c>
      <c r="J5" s="6" t="s">
        <v>12</v>
      </c>
      <c r="K5" s="6" t="s">
        <v>13</v>
      </c>
    </row>
    <row r="6" customFormat="false" ht="54.75" hidden="false" customHeight="true" outlineLevel="0" collapsed="false">
      <c r="A6" s="7" t="s">
        <v>14</v>
      </c>
      <c r="B6" s="8" t="s">
        <v>15</v>
      </c>
      <c r="C6" s="8" t="s">
        <v>16</v>
      </c>
      <c r="D6" s="8" t="s">
        <v>17</v>
      </c>
      <c r="E6" s="9" t="s">
        <v>18</v>
      </c>
      <c r="F6" s="10" t="s">
        <v>19</v>
      </c>
      <c r="G6" s="11" t="s">
        <v>20</v>
      </c>
      <c r="H6" s="12" t="str">
        <f aca="false">IF(F6="","⏳ 待填",IF(AND(  ISNUMBER(SEARCH(F6,C6)),  ISNUMBER(SEARCH(F6,D6))),"✅ 一致",IF(F6=C6,"✅ 一致","❌ 不一致")))</f>
        <v>❌ 不一致</v>
      </c>
      <c r="I6" s="8" t="str">
        <f aca="false">IF(F6="","",IF(H6="✅ 一致","",IF(ISNUMBER(SEARCH(F6,C6)),"⚠️ 检查 Catalogue + Cap Sheet",IF(ISNUMBER(SEARCH(F6,D6)),"⚠️ 检查网站 + Cap Sheet","🔴 全部位置都要改"))))</f>
        <v>🔴 全部位置都要改</v>
      </c>
      <c r="J6" s="12" t="str">
        <f aca="false">IF(F6="","",IF(H6="✅ 一致","✅ 无需修正",IF(I6="🔴 全部位置都要改","🔴 P0 紧急","🟡 P1 本周")))</f>
        <v>🔴 P0 紧急</v>
      </c>
      <c r="K6" s="10"/>
    </row>
    <row r="7" customFormat="false" ht="54.75" hidden="false" customHeight="true" outlineLevel="0" collapsed="false">
      <c r="A7" s="7" t="s">
        <v>21</v>
      </c>
      <c r="B7" s="8" t="s">
        <v>22</v>
      </c>
      <c r="C7" s="8" t="s">
        <v>23</v>
      </c>
      <c r="D7" s="8" t="s">
        <v>24</v>
      </c>
      <c r="E7" s="9" t="s">
        <v>25</v>
      </c>
      <c r="F7" s="10" t="s">
        <v>26</v>
      </c>
      <c r="G7" s="11" t="s">
        <v>27</v>
      </c>
      <c r="H7" s="12" t="str">
        <f aca="false">IF(F7="","⏳ 待填",IF(AND(  ISNUMBER(SEARCH(F7,C7)),  ISNUMBER(SEARCH(F7,D7))),"✅ 一致",IF(F7=C7,"✅ 一致","❌ 不一致")))</f>
        <v>❌ 不一致</v>
      </c>
      <c r="I7" s="8" t="str">
        <f aca="false">IF(F7="","",IF(H7="✅ 一致","",IF(ISNUMBER(SEARCH(F7,C7)),"⚠️ 检查 Catalogue + Cap Sheet",IF(ISNUMBER(SEARCH(F7,D7)),"⚠️ 检查网站 + Cap Sheet","🔴 全部位置都要改"))))</f>
        <v>🔴 全部位置都要改</v>
      </c>
      <c r="J7" s="12" t="str">
        <f aca="false">IF(F7="","",IF(H7="✅ 一致","✅ 无需修正",IF(I7="🔴 全部位置都要改","🔴 P0 紧急","🟡 P1 本周")))</f>
        <v>🔴 P0 紧急</v>
      </c>
      <c r="K7" s="10"/>
    </row>
    <row r="8" customFormat="false" ht="54.75" hidden="false" customHeight="true" outlineLevel="0" collapsed="false">
      <c r="A8" s="7" t="s">
        <v>28</v>
      </c>
      <c r="B8" s="8" t="s">
        <v>29</v>
      </c>
      <c r="C8" s="8" t="s">
        <v>30</v>
      </c>
      <c r="D8" s="8" t="s">
        <v>31</v>
      </c>
      <c r="E8" s="13" t="s">
        <v>32</v>
      </c>
      <c r="F8" s="10" t="s">
        <v>33</v>
      </c>
      <c r="G8" s="11" t="s">
        <v>34</v>
      </c>
      <c r="H8" s="12" t="str">
        <f aca="false">IF(F8="","⏳ 待填",IF(AND(  ISNUMBER(SEARCH(F8,C8)),  ISNUMBER(SEARCH(F8,D8))),"✅ 一致",IF(F8=C8,"✅ 一致","❌ 不一致")))</f>
        <v>❌ 不一致</v>
      </c>
      <c r="I8" s="8" t="str">
        <f aca="false">IF(F8="","",IF(H8="✅ 一致","",IF(ISNUMBER(SEARCH(F8,C8)),"⚠️ 检查 Catalogue + Cap Sheet",IF(ISNUMBER(SEARCH(F8,D8)),"⚠️ 检查网站 + Cap Sheet","🔴 全部位置都要改"))))</f>
        <v>⚠️ 检查 Catalogue + Cap Sheet</v>
      </c>
      <c r="J8" s="12" t="str">
        <f aca="false">IF(F8="","",IF(H8="✅ 一致","✅ 无需修正",IF(I8="🔴 全部位置都要改","🔴 P0 紧急","🟡 P1 本周")))</f>
        <v>🟡 P1 本周</v>
      </c>
      <c r="K8" s="10"/>
    </row>
    <row r="9" customFormat="false" ht="54.75" hidden="false" customHeight="true" outlineLevel="0" collapsed="false">
      <c r="A9" s="7" t="s">
        <v>35</v>
      </c>
      <c r="B9" s="8" t="s">
        <v>36</v>
      </c>
      <c r="C9" s="8" t="s">
        <v>37</v>
      </c>
      <c r="D9" s="8" t="s">
        <v>38</v>
      </c>
      <c r="E9" s="9" t="s">
        <v>39</v>
      </c>
      <c r="F9" s="11" t="s">
        <v>40</v>
      </c>
      <c r="G9" s="11" t="s">
        <v>41</v>
      </c>
      <c r="H9" s="12" t="str">
        <f aca="false">IF(F9="","⏳ 待填",IF(AND(  ISNUMBER(SEARCH(F9,C9)),  ISNUMBER(SEARCH(F9,D9))),"✅ 一致",IF(F9=C9,"✅ 一致","❌ 不一致")))</f>
        <v>❌ 不一致</v>
      </c>
      <c r="I9" s="8" t="str">
        <f aca="false">IF(F9="","",IF(H9="✅ 一致","",IF(ISNUMBER(SEARCH(F9,C9)),"⚠️ 检查 Catalogue + Cap Sheet",IF(ISNUMBER(SEARCH(F9,D9)),"⚠️ 检查网站 + Cap Sheet","🔴 全部位置都要改"))))</f>
        <v>🔴 全部位置都要改</v>
      </c>
      <c r="J9" s="12" t="str">
        <f aca="false">IF(F9="","",IF(H9="✅ 一致","✅ 无需修正",IF(I9="🔴 全部位置都要改","🔴 P0 紧急","🟡 P1 本周")))</f>
        <v>🔴 P0 紧急</v>
      </c>
      <c r="K9" s="10"/>
    </row>
    <row r="10" customFormat="false" ht="54.75" hidden="false" customHeight="true" outlineLevel="0" collapsed="false">
      <c r="A10" s="7" t="s">
        <v>42</v>
      </c>
      <c r="B10" s="8" t="s">
        <v>43</v>
      </c>
      <c r="C10" s="8" t="s">
        <v>44</v>
      </c>
      <c r="D10" s="8" t="s">
        <v>44</v>
      </c>
      <c r="E10" s="9" t="s">
        <v>45</v>
      </c>
      <c r="F10" s="10" t="s">
        <v>46</v>
      </c>
      <c r="G10" s="10"/>
      <c r="H10" s="12" t="str">
        <f aca="false">IF(F10="","⏳ 待填",IF(AND(  ISNUMBER(SEARCH(F10,C10)),  ISNUMBER(SEARCH(F10,D10))),"✅ 一致",IF(F10=C10,"✅ 一致","❌ 不一致")))</f>
        <v>❌ 不一致</v>
      </c>
      <c r="I10" s="8" t="str">
        <f aca="false">IF(F10="","",IF(H10="✅ 一致","",IF(ISNUMBER(SEARCH(F10,C10)),"⚠️ 检查 Catalogue + Cap Sheet",IF(ISNUMBER(SEARCH(F10,D10)),"⚠️ 检查网站 + Cap Sheet","🔴 全部位置都要改"))))</f>
        <v>🔴 全部位置都要改</v>
      </c>
      <c r="J10" s="12" t="str">
        <f aca="false">IF(F10="","",IF(H10="✅ 一致","✅ 无需修正",IF(I10="🔴 全部位置都要改","🔴 P0 紧急","🟡 P1 本周")))</f>
        <v>🔴 P0 紧急</v>
      </c>
      <c r="K10" s="10"/>
    </row>
    <row r="11" customFormat="false" ht="54.75" hidden="false" customHeight="true" outlineLevel="0" collapsed="false">
      <c r="A11" s="7" t="s">
        <v>47</v>
      </c>
      <c r="B11" s="8" t="s">
        <v>48</v>
      </c>
      <c r="C11" s="8" t="s">
        <v>49</v>
      </c>
      <c r="D11" s="8" t="s">
        <v>49</v>
      </c>
      <c r="E11" s="9" t="s">
        <v>50</v>
      </c>
      <c r="F11" s="10" t="s">
        <v>46</v>
      </c>
      <c r="G11" s="10"/>
      <c r="H11" s="12" t="str">
        <f aca="false">IF(F11="","⏳ 待填",IF(AND(  ISNUMBER(SEARCH(F11,C11)),  ISNUMBER(SEARCH(F11,D11))),"✅ 一致",IF(F11=C11,"✅ 一致","❌ 不一致")))</f>
        <v>❌ 不一致</v>
      </c>
      <c r="I11" s="8" t="str">
        <f aca="false">IF(F11="","",IF(H11="✅ 一致","",IF(ISNUMBER(SEARCH(F11,C11)),"⚠️ 检查 Catalogue + Cap Sheet",IF(ISNUMBER(SEARCH(F11,D11)),"⚠️ 检查网站 + Cap Sheet","🔴 全部位置都要改"))))</f>
        <v>🔴 全部位置都要改</v>
      </c>
      <c r="J11" s="12" t="str">
        <f aca="false">IF(F11="","",IF(H11="✅ 一致","✅ 无需修正",IF(I11="🔴 全部位置都要改","🔴 P0 紧急","🟡 P1 本周")))</f>
        <v>🔴 P0 紧急</v>
      </c>
      <c r="K11" s="10"/>
    </row>
    <row r="12" customFormat="false" ht="54.75" hidden="false" customHeight="true" outlineLevel="0" collapsed="false">
      <c r="A12" s="7" t="s">
        <v>51</v>
      </c>
      <c r="B12" s="8" t="s">
        <v>52</v>
      </c>
      <c r="C12" s="8" t="s">
        <v>53</v>
      </c>
      <c r="D12" s="8" t="s">
        <v>53</v>
      </c>
      <c r="E12" s="9" t="s">
        <v>54</v>
      </c>
      <c r="F12" s="10" t="s">
        <v>55</v>
      </c>
      <c r="G12" s="10" t="s">
        <v>56</v>
      </c>
      <c r="H12" s="12" t="str">
        <f aca="false">IF(F12="","⏳ 待填",IF(AND(  ISNUMBER(SEARCH(F12,C12)),  ISNUMBER(SEARCH(F12,D12))),"✅ 一致",IF(F12=C12,"✅ 一致","❌ 不一致")))</f>
        <v>❌ 不一致</v>
      </c>
      <c r="I12" s="8" t="str">
        <f aca="false">IF(F12="","",IF(H12="✅ 一致","",IF(ISNUMBER(SEARCH(F12,C12)),"⚠️ 检查 Catalogue + Cap Sheet",IF(ISNUMBER(SEARCH(F12,D12)),"⚠️ 检查网站 + Cap Sheet","🔴 全部位置都要改"))))</f>
        <v>🔴 全部位置都要改</v>
      </c>
      <c r="J12" s="12" t="str">
        <f aca="false">IF(F12="","",IF(H12="✅ 一致","✅ 无需修正",IF(I12="🔴 全部位置都要改","🔴 P0 紧急","🟡 P1 本周")))</f>
        <v>🔴 P0 紧急</v>
      </c>
      <c r="K12" s="10"/>
    </row>
    <row r="13" customFormat="false" ht="54.75" hidden="false" customHeight="true" outlineLevel="0" collapsed="false">
      <c r="A13" s="7" t="s">
        <v>57</v>
      </c>
      <c r="B13" s="8" t="s">
        <v>58</v>
      </c>
      <c r="C13" s="8" t="s">
        <v>59</v>
      </c>
      <c r="D13" s="8" t="s">
        <v>60</v>
      </c>
      <c r="E13" s="9" t="s">
        <v>39</v>
      </c>
      <c r="F13" s="10" t="s">
        <v>61</v>
      </c>
      <c r="G13" s="10" t="s">
        <v>62</v>
      </c>
      <c r="H13" s="12" t="str">
        <f aca="false">IF(F13="","⏳ 待填",IF(AND(  ISNUMBER(SEARCH(F13,C13)),  ISNUMBER(SEARCH(F13,D13))),"✅ 一致",IF(F13=C13,"✅ 一致","❌ 不一致")))</f>
        <v>❌ 不一致</v>
      </c>
      <c r="I13" s="8" t="str">
        <f aca="false">IF(F13="","",IF(H13="✅ 一致","",IF(ISNUMBER(SEARCH(F13,C13)),"⚠️ 检查 Catalogue + Cap Sheet",IF(ISNUMBER(SEARCH(F13,D13)),"⚠️ 检查网站 + Cap Sheet","🔴 全部位置都要改"))))</f>
        <v>🔴 全部位置都要改</v>
      </c>
      <c r="J13" s="12" t="str">
        <f aca="false">IF(F13="","",IF(H13="✅ 一致","✅ 无需修正",IF(I13="🔴 全部位置都要改","🔴 P0 紧急","🟡 P1 本周")))</f>
        <v>🔴 P0 紧急</v>
      </c>
      <c r="K13" s="10"/>
    </row>
    <row r="14" customFormat="false" ht="54.75" hidden="false" customHeight="true" outlineLevel="0" collapsed="false">
      <c r="A14" s="7" t="s">
        <v>63</v>
      </c>
      <c r="B14" s="8" t="s">
        <v>64</v>
      </c>
      <c r="C14" s="8" t="s">
        <v>65</v>
      </c>
      <c r="D14" s="8" t="s">
        <v>66</v>
      </c>
      <c r="E14" s="9" t="s">
        <v>25</v>
      </c>
      <c r="F14" s="10" t="s">
        <v>67</v>
      </c>
      <c r="G14" s="10" t="s">
        <v>68</v>
      </c>
      <c r="H14" s="12" t="str">
        <f aca="false">IF(F14="","⏳ 待填",IF(AND(  ISNUMBER(SEARCH(F14,C14)),  ISNUMBER(SEARCH(F14,D14))),"✅ 一致",IF(F14=C14,"✅ 一致","❌ 不一致")))</f>
        <v>❌ 不一致</v>
      </c>
      <c r="I14" s="8" t="str">
        <f aca="false">IF(F14="","",IF(H14="✅ 一致","",IF(ISNUMBER(SEARCH(F14,C14)),"⚠️ 检查 Catalogue + Cap Sheet",IF(ISNUMBER(SEARCH(F14,D14)),"⚠️ 检查网站 + Cap Sheet","🔴 全部位置都要改"))))</f>
        <v>⚠️ 检查 Catalogue + Cap Sheet</v>
      </c>
      <c r="J14" s="12" t="str">
        <f aca="false">IF(F14="","",IF(H14="✅ 一致","✅ 无需修正",IF(I14="🔴 全部位置都要改","🔴 P0 紧急","🟡 P1 本周")))</f>
        <v>🟡 P1 本周</v>
      </c>
      <c r="K14" s="10"/>
    </row>
    <row r="15" customFormat="false" ht="54.75" hidden="false" customHeight="true" outlineLevel="0" collapsed="false">
      <c r="A15" s="7" t="s">
        <v>69</v>
      </c>
      <c r="B15" s="8" t="s">
        <v>70</v>
      </c>
      <c r="C15" s="8" t="s">
        <v>71</v>
      </c>
      <c r="D15" s="8" t="s">
        <v>72</v>
      </c>
      <c r="E15" s="9" t="s">
        <v>73</v>
      </c>
      <c r="F15" s="10" t="s">
        <v>74</v>
      </c>
      <c r="G15" s="11" t="s">
        <v>75</v>
      </c>
      <c r="H15" s="12" t="str">
        <f aca="false">IF(F15="","⏳ 待填",IF(AND(  ISNUMBER(SEARCH(F15,C15)),  ISNUMBER(SEARCH(F15,D15))),"✅ 一致",IF(F15=C15,"✅ 一致","❌ 不一致")))</f>
        <v>✅ 一致</v>
      </c>
      <c r="I15" s="8" t="str">
        <f aca="false">IF(F15="","",IF(H15="✅ 一致","",IF(ISNUMBER(SEARCH(F15,C15)),"⚠️ 检查 Catalogue + Cap Sheet",IF(ISNUMBER(SEARCH(F15,D15)),"⚠️ 检查网站 + Cap Sheet","🔴 全部位置都要改"))))</f>
        <v/>
      </c>
      <c r="J15" s="12" t="str">
        <f aca="false">IF(F15="","",IF(H15="✅ 一致","✅ 无需修正",IF(I15="🔴 全部位置都要改","🔴 P0 紧急","🟡 P1 本周")))</f>
        <v>✅ 无需修正</v>
      </c>
      <c r="K15" s="10"/>
    </row>
    <row r="16" customFormat="false" ht="54.75" hidden="false" customHeight="true" outlineLevel="0" collapsed="false">
      <c r="A16" s="7" t="s">
        <v>76</v>
      </c>
      <c r="B16" s="8" t="s">
        <v>77</v>
      </c>
      <c r="C16" s="8" t="s">
        <v>78</v>
      </c>
      <c r="D16" s="8" t="s">
        <v>79</v>
      </c>
      <c r="E16" s="9" t="s">
        <v>25</v>
      </c>
      <c r="F16" s="10" t="s">
        <v>80</v>
      </c>
      <c r="G16" s="10" t="s">
        <v>81</v>
      </c>
      <c r="H16" s="12" t="str">
        <f aca="false">IF(F16="","⏳ 待填",IF(AND(  ISNUMBER(SEARCH(F16,C16)),  ISNUMBER(SEARCH(F16,D16))),"✅ 一致",IF(F16=C16,"✅ 一致","❌ 不一致")))</f>
        <v>❌ 不一致</v>
      </c>
      <c r="I16" s="8" t="str">
        <f aca="false">IF(F16="","",IF(H16="✅ 一致","",IF(ISNUMBER(SEARCH(F16,C16)),"⚠️ 检查 Catalogue + Cap Sheet",IF(ISNUMBER(SEARCH(F16,D16)),"⚠️ 检查网站 + Cap Sheet","🔴 全部位置都要改"))))</f>
        <v>🔴 全部位置都要改</v>
      </c>
      <c r="J16" s="12" t="str">
        <f aca="false">IF(F16="","",IF(H16="✅ 一致","✅ 无需修正",IF(I16="🔴 全部位置都要改","🔴 P0 紧急","🟡 P1 本周")))</f>
        <v>🔴 P0 紧急</v>
      </c>
      <c r="K16" s="10"/>
    </row>
    <row r="17" customFormat="false" ht="54.75" hidden="false" customHeight="true" outlineLevel="0" collapsed="false">
      <c r="A17" s="7" t="s">
        <v>82</v>
      </c>
      <c r="B17" s="8" t="s">
        <v>83</v>
      </c>
      <c r="C17" s="8" t="s">
        <v>84</v>
      </c>
      <c r="D17" s="8" t="s">
        <v>84</v>
      </c>
      <c r="E17" s="9" t="s">
        <v>85</v>
      </c>
      <c r="F17" s="10" t="s">
        <v>86</v>
      </c>
      <c r="G17" s="10" t="s">
        <v>87</v>
      </c>
      <c r="H17" s="12" t="str">
        <f aca="false">IF(F17="","⏳ 待填",IF(AND(  ISNUMBER(SEARCH(F17,C17)),  ISNUMBER(SEARCH(F17,D17))),"✅ 一致",IF(F17=C17,"✅ 一致","❌ 不一致")))</f>
        <v>❌ 不一致</v>
      </c>
      <c r="I17" s="8" t="str">
        <f aca="false">IF(F17="","",IF(H17="✅ 一致","",IF(ISNUMBER(SEARCH(F17,C17)),"⚠️ 检查 Catalogue + Cap Sheet",IF(ISNUMBER(SEARCH(F17,D17)),"⚠️ 检查网站 + Cap Sheet","🔴 全部位置都要改"))))</f>
        <v>🔴 全部位置都要改</v>
      </c>
      <c r="J17" s="12" t="str">
        <f aca="false">IF(F17="","",IF(H17="✅ 一致","✅ 无需修正",IF(I17="🔴 全部位置都要改","🔴 P0 紧急","🟡 P1 本周")))</f>
        <v>🔴 P0 紧急</v>
      </c>
      <c r="K17" s="10"/>
    </row>
    <row r="18" customFormat="false" ht="54.75" hidden="false" customHeight="true" outlineLevel="0" collapsed="false">
      <c r="A18" s="7" t="s">
        <v>88</v>
      </c>
      <c r="B18" s="8" t="s">
        <v>89</v>
      </c>
      <c r="C18" s="8" t="s">
        <v>90</v>
      </c>
      <c r="D18" s="8" t="s">
        <v>91</v>
      </c>
      <c r="E18" s="9" t="s">
        <v>92</v>
      </c>
      <c r="F18" s="10" t="s">
        <v>93</v>
      </c>
      <c r="G18" s="10" t="s">
        <v>94</v>
      </c>
      <c r="H18" s="12" t="str">
        <f aca="false">IF(F18="","⏳ 待填",IF(AND(  ISNUMBER(SEARCH(F18,C18)),  ISNUMBER(SEARCH(F18,D18))),"✅ 一致",IF(F18=C18,"✅ 一致","❌ 不一致")))</f>
        <v>❌ 不一致</v>
      </c>
      <c r="I18" s="8" t="str">
        <f aca="false">IF(F18="","",IF(H18="✅ 一致","",IF(ISNUMBER(SEARCH(F18,C18)),"⚠️ 检查 Catalogue + Cap Sheet",IF(ISNUMBER(SEARCH(F18,D18)),"⚠️ 检查网站 + Cap Sheet","🔴 全部位置都要改"))))</f>
        <v>🔴 全部位置都要改</v>
      </c>
      <c r="J18" s="12" t="str">
        <f aca="false">IF(F18="","",IF(H18="✅ 一致","✅ 无需修正",IF(I18="🔴 全部位置都要改","🔴 P0 紧急","🟡 P1 本周")))</f>
        <v>🔴 P0 紧急</v>
      </c>
      <c r="K18" s="10"/>
    </row>
    <row r="19" customFormat="false" ht="54.75" hidden="false" customHeight="true" outlineLevel="0" collapsed="false">
      <c r="A19" s="7" t="s">
        <v>95</v>
      </c>
      <c r="B19" s="8" t="s">
        <v>96</v>
      </c>
      <c r="C19" s="8" t="s">
        <v>97</v>
      </c>
      <c r="D19" s="8" t="s">
        <v>98</v>
      </c>
      <c r="E19" s="9" t="s">
        <v>99</v>
      </c>
      <c r="F19" s="10" t="s">
        <v>46</v>
      </c>
      <c r="G19" s="10"/>
      <c r="H19" s="12" t="str">
        <f aca="false">IF(F19="","⏳ 待填",IF(AND(  ISNUMBER(SEARCH(F19,C19)),  ISNUMBER(SEARCH(F19,D19))),"✅ 一致",IF(F19=C19,"✅ 一致","❌ 不一致")))</f>
        <v>❌ 不一致</v>
      </c>
      <c r="I19" s="8" t="str">
        <f aca="false">IF(F19="","",IF(H19="✅ 一致","",IF(ISNUMBER(SEARCH(F19,C19)),"⚠️ 检查 Catalogue + Cap Sheet",IF(ISNUMBER(SEARCH(F19,D19)),"⚠️ 检查网站 + Cap Sheet","🔴 全部位置都要改"))))</f>
        <v>🔴 全部位置都要改</v>
      </c>
      <c r="J19" s="12" t="str">
        <f aca="false">IF(F19="","",IF(H19="✅ 一致","✅ 无需修正",IF(I19="🔴 全部位置都要改","🔴 P0 紧急","🟡 P1 本周")))</f>
        <v>🔴 P0 紧急</v>
      </c>
      <c r="K19" s="10"/>
    </row>
    <row r="20" customFormat="false" ht="54.75" hidden="false" customHeight="true" outlineLevel="0" collapsed="false">
      <c r="A20" s="7" t="s">
        <v>100</v>
      </c>
      <c r="B20" s="8" t="s">
        <v>101</v>
      </c>
      <c r="C20" s="8" t="s">
        <v>102</v>
      </c>
      <c r="D20" s="8" t="s">
        <v>103</v>
      </c>
      <c r="E20" s="9" t="s">
        <v>39</v>
      </c>
      <c r="F20" s="10" t="s">
        <v>104</v>
      </c>
      <c r="G20" s="11" t="s">
        <v>105</v>
      </c>
      <c r="H20" s="12" t="str">
        <f aca="false">IF(F20="","⏳ 待填",IF(AND(  ISNUMBER(SEARCH(F20,C20)),  ISNUMBER(SEARCH(F20,D20))),"✅ 一致",IF(F20=C20,"✅ 一致","❌ 不一致")))</f>
        <v>❌ 不一致</v>
      </c>
      <c r="I20" s="8" t="str">
        <f aca="false">IF(F20="","",IF(H20="✅ 一致","",IF(ISNUMBER(SEARCH(F20,C20)),"⚠️ 检查 Catalogue + Cap Sheet",IF(ISNUMBER(SEARCH(F20,D20)),"⚠️ 检查网站 + Cap Sheet","🔴 全部位置都要改"))))</f>
        <v>🔴 全部位置都要改</v>
      </c>
      <c r="J20" s="12" t="str">
        <f aca="false">IF(F20="","",IF(H20="✅ 一致","✅ 无需修正",IF(I20="🔴 全部位置都要改","🔴 P0 紧急","🟡 P1 本周")))</f>
        <v>🔴 P0 紧急</v>
      </c>
      <c r="K20" s="10"/>
    </row>
    <row r="21" customFormat="false" ht="54.75" hidden="false" customHeight="true" outlineLevel="0" collapsed="false">
      <c r="A21" s="7" t="s">
        <v>106</v>
      </c>
      <c r="B21" s="8" t="s">
        <v>107</v>
      </c>
      <c r="C21" s="8" t="s">
        <v>108</v>
      </c>
      <c r="D21" s="8" t="s">
        <v>109</v>
      </c>
      <c r="E21" s="9" t="s">
        <v>110</v>
      </c>
      <c r="F21" s="10" t="s">
        <v>86</v>
      </c>
      <c r="G21" s="10" t="s">
        <v>111</v>
      </c>
      <c r="H21" s="12" t="str">
        <f aca="false">IF(F21="","⏳ 待填",IF(AND(  ISNUMBER(SEARCH(F21,C21)),  ISNUMBER(SEARCH(F21,D21))),"✅ 一致",IF(F21=C21,"✅ 一致","❌ 不一致")))</f>
        <v>❌ 不一致</v>
      </c>
      <c r="I21" s="8" t="str">
        <f aca="false">IF(F21="","",IF(H21="✅ 一致","",IF(ISNUMBER(SEARCH(F21,C21)),"⚠️ 检查 Catalogue + Cap Sheet",IF(ISNUMBER(SEARCH(F21,D21)),"⚠️ 检查网站 + Cap Sheet","🔴 全部位置都要改"))))</f>
        <v>🔴 全部位置都要改</v>
      </c>
      <c r="J21" s="12" t="str">
        <f aca="false">IF(F21="","",IF(H21="✅ 一致","✅ 无需修正",IF(I21="🔴 全部位置都要改","🔴 P0 紧急","🟡 P1 本周")))</f>
        <v>🔴 P0 紧急</v>
      </c>
      <c r="K21" s="10"/>
    </row>
    <row r="22" customFormat="false" ht="54.75" hidden="false" customHeight="true" outlineLevel="0" collapsed="false">
      <c r="A22" s="7" t="s">
        <v>112</v>
      </c>
      <c r="B22" s="8" t="s">
        <v>113</v>
      </c>
      <c r="C22" s="8" t="s">
        <v>114</v>
      </c>
      <c r="D22" s="8" t="s">
        <v>115</v>
      </c>
      <c r="E22" s="9" t="s">
        <v>110</v>
      </c>
      <c r="F22" s="10" t="s">
        <v>116</v>
      </c>
      <c r="G22" s="11" t="s">
        <v>117</v>
      </c>
      <c r="H22" s="12" t="str">
        <f aca="false">IF(F22="","⏳ 待填",IF(AND(  ISNUMBER(SEARCH(F22,C22)),  ISNUMBER(SEARCH(F22,D22))),"✅ 一致",IF(F22=C22,"✅ 一致","❌ 不一致")))</f>
        <v>✅ 一致</v>
      </c>
      <c r="I22" s="8" t="str">
        <f aca="false">IF(F22="","",IF(H22="✅ 一致","",IF(ISNUMBER(SEARCH(F22,C22)),"⚠️ 检查 Catalogue + Cap Sheet",IF(ISNUMBER(SEARCH(F22,D22)),"⚠️ 检查网站 + Cap Sheet","🔴 全部位置都要改"))))</f>
        <v/>
      </c>
      <c r="J22" s="12" t="str">
        <f aca="false">IF(F22="","",IF(H22="✅ 一致","✅ 无需修正",IF(I22="🔴 全部位置都要改","🔴 P0 紧急","🟡 P1 本周")))</f>
        <v>✅ 无需修正</v>
      </c>
      <c r="K22" s="10"/>
    </row>
    <row r="23" customFormat="false" ht="54.75" hidden="false" customHeight="true" outlineLevel="0" collapsed="false">
      <c r="A23" s="7" t="s">
        <v>118</v>
      </c>
      <c r="B23" s="8" t="s">
        <v>119</v>
      </c>
      <c r="C23" s="8" t="s">
        <v>120</v>
      </c>
      <c r="D23" s="8" t="s">
        <v>121</v>
      </c>
      <c r="E23" s="9" t="s">
        <v>110</v>
      </c>
      <c r="F23" s="10" t="s">
        <v>122</v>
      </c>
      <c r="G23" s="11" t="s">
        <v>123</v>
      </c>
      <c r="H23" s="12" t="str">
        <f aca="false">IF(F23="","⏳ 待填",IF(AND(  ISNUMBER(SEARCH(F23,C23)),  ISNUMBER(SEARCH(F23,D23))),"✅ 一致",IF(F23=C23,"✅ 一致","❌ 不一致")))</f>
        <v>✅ 一致</v>
      </c>
      <c r="I23" s="8" t="str">
        <f aca="false">IF(F23="","",IF(H23="✅ 一致","",IF(ISNUMBER(SEARCH(F23,C23)),"⚠️ 检查 Catalogue + Cap Sheet",IF(ISNUMBER(SEARCH(F23,D23)),"⚠️ 检查网站 + Cap Sheet","🔴 全部位置都要改"))))</f>
        <v/>
      </c>
      <c r="J23" s="12" t="str">
        <f aca="false">IF(F23="","",IF(H23="✅ 一致","✅ 无需修正",IF(I23="🔴 全部位置都要改","🔴 P0 紧急","🟡 P1 本周")))</f>
        <v>✅ 无需修正</v>
      </c>
      <c r="K23" s="10"/>
    </row>
    <row r="24" customFormat="false" ht="54.75" hidden="false" customHeight="true" outlineLevel="0" collapsed="false">
      <c r="A24" s="7" t="s">
        <v>124</v>
      </c>
      <c r="B24" s="8" t="s">
        <v>125</v>
      </c>
      <c r="C24" s="8" t="s">
        <v>126</v>
      </c>
      <c r="D24" s="8" t="s">
        <v>127</v>
      </c>
      <c r="E24" s="9" t="s">
        <v>128</v>
      </c>
      <c r="F24" s="10" t="s">
        <v>129</v>
      </c>
      <c r="G24" s="10" t="s">
        <v>130</v>
      </c>
      <c r="H24" s="12" t="str">
        <f aca="false">IF(F24="","⏳ 待填",IF(AND(  ISNUMBER(SEARCH(F24,C24)),  ISNUMBER(SEARCH(F24,D24))),"✅ 一致",IF(F24=C24,"✅ 一致","❌ 不一致")))</f>
        <v>❌ 不一致</v>
      </c>
      <c r="I24" s="8" t="str">
        <f aca="false">IF(F24="","",IF(H24="✅ 一致","",IF(ISNUMBER(SEARCH(F24,C24)),"⚠️ 检查 Catalogue + Cap Sheet",IF(ISNUMBER(SEARCH(F24,D24)),"⚠️ 检查网站 + Cap Sheet","🔴 全部位置都要改"))))</f>
        <v>🔴 全部位置都要改</v>
      </c>
      <c r="J24" s="12" t="str">
        <f aca="false">IF(F24="","",IF(H24="✅ 一致","✅ 无需修正",IF(I24="🔴 全部位置都要改","🔴 P0 紧急","🟡 P1 本周")))</f>
        <v>🔴 P0 紧急</v>
      </c>
      <c r="K24" s="10"/>
    </row>
    <row r="25" customFormat="false" ht="54.75" hidden="false" customHeight="true" outlineLevel="0" collapsed="false">
      <c r="A25" s="7" t="s">
        <v>131</v>
      </c>
      <c r="B25" s="8" t="s">
        <v>132</v>
      </c>
      <c r="C25" s="8" t="s">
        <v>133</v>
      </c>
      <c r="D25" s="8" t="s">
        <v>134</v>
      </c>
      <c r="E25" s="9" t="s">
        <v>128</v>
      </c>
      <c r="F25" s="10" t="s">
        <v>135</v>
      </c>
      <c r="G25" s="11" t="s">
        <v>136</v>
      </c>
      <c r="H25" s="12" t="str">
        <f aca="false">IF(F25="","⏳ 待填",IF(AND(  ISNUMBER(SEARCH(F25,C25)),  ISNUMBER(SEARCH(F25,D25))),"✅ 一致",IF(F25=C25,"✅ 一致","❌ 不一致")))</f>
        <v>✅ 一致</v>
      </c>
      <c r="I25" s="8" t="str">
        <f aca="false">IF(F25="","",IF(H25="✅ 一致","",IF(ISNUMBER(SEARCH(F25,C25)),"⚠️ 检查 Catalogue + Cap Sheet",IF(ISNUMBER(SEARCH(F25,D25)),"⚠️ 检查网站 + Cap Sheet","🔴 全部位置都要改"))))</f>
        <v/>
      </c>
      <c r="J25" s="12" t="str">
        <f aca="false">IF(F25="","",IF(H25="✅ 一致","✅ 无需修正",IF(I25="🔴 全部位置都要改","🔴 P0 紧急","🟡 P1 本周")))</f>
        <v>✅ 无需修正</v>
      </c>
      <c r="K25" s="10"/>
    </row>
    <row r="26" customFormat="false" ht="54.75" hidden="false" customHeight="true" outlineLevel="0" collapsed="false">
      <c r="A26" s="7" t="s">
        <v>137</v>
      </c>
      <c r="B26" s="8" t="s">
        <v>138</v>
      </c>
      <c r="C26" s="8" t="s">
        <v>139</v>
      </c>
      <c r="D26" s="8" t="s">
        <v>140</v>
      </c>
      <c r="E26" s="9" t="s">
        <v>141</v>
      </c>
      <c r="F26" s="10" t="s">
        <v>46</v>
      </c>
      <c r="G26" s="10"/>
      <c r="H26" s="12" t="str">
        <f aca="false">IF(F26="","⏳ 待填",IF(AND(  ISNUMBER(SEARCH(F26,C26)),  ISNUMBER(SEARCH(F26,D26))),"✅ 一致",IF(F26=C26,"✅ 一致","❌ 不一致")))</f>
        <v>❌ 不一致</v>
      </c>
      <c r="I26" s="8" t="str">
        <f aca="false">IF(F26="","",IF(H26="✅ 一致","",IF(ISNUMBER(SEARCH(F26,C26)),"⚠️ 检查 Catalogue + Cap Sheet",IF(ISNUMBER(SEARCH(F26,D26)),"⚠️ 检查网站 + Cap Sheet","🔴 全部位置都要改"))))</f>
        <v>🔴 全部位置都要改</v>
      </c>
      <c r="J26" s="12" t="str">
        <f aca="false">IF(F26="","",IF(H26="✅ 一致","✅ 无需修正",IF(I26="🔴 全部位置都要改","🔴 P0 紧急","🟡 P1 本周")))</f>
        <v>🔴 P0 紧急</v>
      </c>
      <c r="K26" s="10"/>
    </row>
    <row r="27" customFormat="false" ht="54.75" hidden="false" customHeight="true" outlineLevel="0" collapsed="false">
      <c r="A27" s="7" t="s">
        <v>142</v>
      </c>
      <c r="B27" s="8" t="s">
        <v>143</v>
      </c>
      <c r="C27" s="8" t="s">
        <v>144</v>
      </c>
      <c r="D27" s="8" t="s">
        <v>144</v>
      </c>
      <c r="E27" s="9" t="s">
        <v>50</v>
      </c>
      <c r="F27" s="10" t="s">
        <v>46</v>
      </c>
      <c r="G27" s="10"/>
      <c r="H27" s="12" t="str">
        <f aca="false">IF(F27="","⏳ 待填",IF(AND(  ISNUMBER(SEARCH(F27,C27)),  ISNUMBER(SEARCH(F27,D27))),"✅ 一致",IF(F27=C27,"✅ 一致","❌ 不一致")))</f>
        <v>❌ 不一致</v>
      </c>
      <c r="I27" s="8" t="str">
        <f aca="false">IF(F27="","",IF(H27="✅ 一致","",IF(ISNUMBER(SEARCH(F27,C27)),"⚠️ 检查 Catalogue + Cap Sheet",IF(ISNUMBER(SEARCH(F27,D27)),"⚠️ 检查网站 + Cap Sheet","🔴 全部位置都要改"))))</f>
        <v>🔴 全部位置都要改</v>
      </c>
      <c r="J27" s="12" t="str">
        <f aca="false">IF(F27="","",IF(H27="✅ 一致","✅ 无需修正",IF(I27="🔴 全部位置都要改","🔴 P0 紧急","🟡 P1 本周")))</f>
        <v>🔴 P0 紧急</v>
      </c>
      <c r="K27" s="10"/>
    </row>
    <row r="28" customFormat="false" ht="54.75" hidden="false" customHeight="true" outlineLevel="0" collapsed="false">
      <c r="A28" s="7" t="s">
        <v>145</v>
      </c>
      <c r="B28" s="8" t="s">
        <v>146</v>
      </c>
      <c r="C28" s="8" t="s">
        <v>147</v>
      </c>
      <c r="D28" s="8" t="s">
        <v>148</v>
      </c>
      <c r="E28" s="9" t="s">
        <v>149</v>
      </c>
      <c r="F28" s="10" t="s">
        <v>150</v>
      </c>
      <c r="G28" s="10" t="s">
        <v>151</v>
      </c>
      <c r="H28" s="12" t="str">
        <f aca="false">IF(F28="","⏳ 待填",IF(AND(  ISNUMBER(SEARCH(F28,C28)),  ISNUMBER(SEARCH(F28,D28))),"✅ 一致",IF(F28=C28,"✅ 一致","❌ 不一致")))</f>
        <v>❌ 不一致</v>
      </c>
      <c r="I28" s="8" t="str">
        <f aca="false">IF(F28="","",IF(H28="✅ 一致","",IF(ISNUMBER(SEARCH(F28,C28)),"⚠️ 检查 Catalogue + Cap Sheet",IF(ISNUMBER(SEARCH(F28,D28)),"⚠️ 检查网站 + Cap Sheet","🔴 全部位置都要改"))))</f>
        <v>🔴 全部位置都要改</v>
      </c>
      <c r="J28" s="12" t="str">
        <f aca="false">IF(F28="","",IF(H28="✅ 一致","✅ 无需修正",IF(I28="🔴 全部位置都要改","🔴 P0 紧急","🟡 P1 本周")))</f>
        <v>🔴 P0 紧急</v>
      </c>
      <c r="K28" s="10"/>
    </row>
    <row r="29" customFormat="false" ht="54.75" hidden="false" customHeight="true" outlineLevel="0" collapsed="false">
      <c r="A29" s="7" t="s">
        <v>152</v>
      </c>
      <c r="B29" s="8" t="s">
        <v>153</v>
      </c>
      <c r="C29" s="8" t="s">
        <v>154</v>
      </c>
      <c r="D29" s="8" t="s">
        <v>155</v>
      </c>
      <c r="E29" s="9" t="s">
        <v>156</v>
      </c>
      <c r="F29" s="10" t="s">
        <v>157</v>
      </c>
      <c r="G29" s="10" t="s">
        <v>158</v>
      </c>
      <c r="H29" s="12" t="str">
        <f aca="false">IF(F29="","⏳ 待填",IF(AND(  ISNUMBER(SEARCH(F29,C29)),  ISNUMBER(SEARCH(F29,D29))),"✅ 一致",IF(F29=C29,"✅ 一致","❌ 不一致")))</f>
        <v>❌ 不一致</v>
      </c>
      <c r="I29" s="8" t="str">
        <f aca="false">IF(F29="","",IF(H29="✅ 一致","",IF(ISNUMBER(SEARCH(F29,C29)),"⚠️ 检查 Catalogue + Cap Sheet",IF(ISNUMBER(SEARCH(F29,D29)),"⚠️ 检查网站 + Cap Sheet","🔴 全部位置都要改"))))</f>
        <v>🔴 全部位置都要改</v>
      </c>
      <c r="J29" s="12" t="str">
        <f aca="false">IF(F29="","",IF(H29="✅ 一致","✅ 无需修正",IF(I29="🔴 全部位置都要改","🔴 P0 紧急","🟡 P1 本周")))</f>
        <v>🔴 P0 紧急</v>
      </c>
      <c r="K29" s="10"/>
    </row>
    <row r="30" customFormat="false" ht="54.75" hidden="false" customHeight="true" outlineLevel="0" collapsed="false">
      <c r="A30" s="7" t="s">
        <v>159</v>
      </c>
      <c r="B30" s="8" t="s">
        <v>160</v>
      </c>
      <c r="C30" s="8" t="s">
        <v>161</v>
      </c>
      <c r="D30" s="8" t="s">
        <v>161</v>
      </c>
      <c r="E30" s="9" t="s">
        <v>54</v>
      </c>
      <c r="F30" s="10" t="s">
        <v>162</v>
      </c>
      <c r="G30" s="10" t="s">
        <v>163</v>
      </c>
      <c r="H30" s="12" t="str">
        <f aca="false">IF(F30="","⏳ 待填",IF(AND(  ISNUMBER(SEARCH(F30,C30)),  ISNUMBER(SEARCH(F30,D30))),"✅ 一致",IF(F30=C30,"✅ 一致","❌ 不一致")))</f>
        <v>❌ 不一致</v>
      </c>
      <c r="I30" s="8" t="str">
        <f aca="false">IF(F30="","",IF(H30="✅ 一致","",IF(ISNUMBER(SEARCH(F30,C30)),"⚠️ 检查 Catalogue + Cap Sheet",IF(ISNUMBER(SEARCH(F30,D30)),"⚠️ 检查网站 + Cap Sheet","🔴 全部位置都要改"))))</f>
        <v>🔴 全部位置都要改</v>
      </c>
      <c r="J30" s="12" t="str">
        <f aca="false">IF(F30="","",IF(H30="✅ 一致","✅ 无需修正",IF(I30="🔴 全部位置都要改","🔴 P0 紧急","🟡 P1 本周")))</f>
        <v>🔴 P0 紧急</v>
      </c>
      <c r="K30" s="10"/>
    </row>
    <row r="31" customFormat="false" ht="54.75" hidden="false" customHeight="true" outlineLevel="0" collapsed="false">
      <c r="A31" s="7" t="s">
        <v>164</v>
      </c>
      <c r="B31" s="8" t="s">
        <v>165</v>
      </c>
      <c r="C31" s="8" t="s">
        <v>166</v>
      </c>
      <c r="D31" s="8" t="s">
        <v>167</v>
      </c>
      <c r="E31" s="9" t="s">
        <v>168</v>
      </c>
      <c r="F31" s="10" t="s">
        <v>169</v>
      </c>
      <c r="G31" s="11" t="s">
        <v>170</v>
      </c>
      <c r="H31" s="12" t="str">
        <f aca="false">IF(F31="","⏳ 待填",IF(AND(  ISNUMBER(SEARCH(F31,C31)),  ISNUMBER(SEARCH(F31,D31))),"✅ 一致",IF(F31=C31,"✅ 一致","❌ 不一致")))</f>
        <v>❌ 不一致</v>
      </c>
      <c r="I31" s="8" t="str">
        <f aca="false">IF(F31="","",IF(H31="✅ 一致","",IF(ISNUMBER(SEARCH(F31,C31)),"⚠️ 检查 Catalogue + Cap Sheet",IF(ISNUMBER(SEARCH(F31,D31)),"⚠️ 检查网站 + Cap Sheet","🔴 全部位置都要改"))))</f>
        <v>🔴 全部位置都要改</v>
      </c>
      <c r="J31" s="12" t="str">
        <f aca="false">IF(F31="","",IF(H31="✅ 一致","✅ 无需修正",IF(I31="🔴 全部位置都要改","🔴 P0 紧急","🟡 P1 本周")))</f>
        <v>🔴 P0 紧急</v>
      </c>
      <c r="K31" s="10"/>
    </row>
    <row r="32" customFormat="false" ht="54.75" hidden="false" customHeight="true" outlineLevel="0" collapsed="false">
      <c r="A32" s="7" t="s">
        <v>171</v>
      </c>
      <c r="B32" s="8" t="s">
        <v>172</v>
      </c>
      <c r="C32" s="8" t="s">
        <v>173</v>
      </c>
      <c r="D32" s="8" t="s">
        <v>173</v>
      </c>
      <c r="E32" s="9" t="s">
        <v>45</v>
      </c>
      <c r="F32" s="10" t="s">
        <v>46</v>
      </c>
      <c r="G32" s="10"/>
      <c r="H32" s="12" t="str">
        <f aca="false">IF(F32="","⏳ 待填",IF(AND(  ISNUMBER(SEARCH(F32,C32)),  ISNUMBER(SEARCH(F32,D32))),"✅ 一致",IF(F32=C32,"✅ 一致","❌ 不一致")))</f>
        <v>❌ 不一致</v>
      </c>
      <c r="I32" s="8" t="str">
        <f aca="false">IF(F32="","",IF(H32="✅ 一致","",IF(ISNUMBER(SEARCH(F32,C32)),"⚠️ 检查 Catalogue + Cap Sheet",IF(ISNUMBER(SEARCH(F32,D32)),"⚠️ 检查网站 + Cap Sheet","🔴 全部位置都要改"))))</f>
        <v>🔴 全部位置都要改</v>
      </c>
      <c r="J32" s="12" t="str">
        <f aca="false">IF(F32="","",IF(H32="✅ 一致","✅ 无需修正",IF(I32="🔴 全部位置都要改","🔴 P0 紧急","🟡 P1 本周")))</f>
        <v>🔴 P0 紧急</v>
      </c>
      <c r="K32" s="10"/>
    </row>
    <row r="33" customFormat="false" ht="54.75" hidden="false" customHeight="true" outlineLevel="0" collapsed="false">
      <c r="A33" s="7" t="s">
        <v>174</v>
      </c>
      <c r="B33" s="8" t="s">
        <v>175</v>
      </c>
      <c r="C33" s="8" t="s">
        <v>176</v>
      </c>
      <c r="D33" s="8" t="s">
        <v>177</v>
      </c>
      <c r="E33" s="9" t="s">
        <v>50</v>
      </c>
      <c r="F33" s="10" t="s">
        <v>46</v>
      </c>
      <c r="G33" s="10"/>
      <c r="H33" s="12" t="str">
        <f aca="false">IF(F33="","⏳ 待填",IF(AND(  ISNUMBER(SEARCH(F33,C33)),  ISNUMBER(SEARCH(F33,D33))),"✅ 一致",IF(F33=C33,"✅ 一致","❌ 不一致")))</f>
        <v>❌ 不一致</v>
      </c>
      <c r="I33" s="8" t="str">
        <f aca="false">IF(F33="","",IF(H33="✅ 一致","",IF(ISNUMBER(SEARCH(F33,C33)),"⚠️ 检查 Catalogue + Cap Sheet",IF(ISNUMBER(SEARCH(F33,D33)),"⚠️ 检查网站 + Cap Sheet","🔴 全部位置都要改"))))</f>
        <v>🔴 全部位置都要改</v>
      </c>
      <c r="J33" s="12" t="str">
        <f aca="false">IF(F33="","",IF(H33="✅ 一致","✅ 无需修正",IF(I33="🔴 全部位置都要改","🔴 P0 紧急","🟡 P1 本周")))</f>
        <v>🔴 P0 紧急</v>
      </c>
      <c r="K33" s="10"/>
    </row>
  </sheetData>
  <mergeCells count="2">
    <mergeCell ref="A1:K1"/>
    <mergeCell ref="B3:K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5" topLeftCell="B6" activePane="bottomRight" state="frozen"/>
      <selection pane="topLeft" activeCell="A1" activeCellId="0" sqref="A1"/>
      <selection pane="topRight" activeCell="B1" activeCellId="0" sqref="B1"/>
      <selection pane="bottomLeft" activeCell="A6" activeCellId="0" sqref="A6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11"/>
    <col collapsed="false" customWidth="true" hidden="false" outlineLevel="0" max="2" min="2" style="1" width="22"/>
    <col collapsed="false" customWidth="true" hidden="false" outlineLevel="0" max="4" min="3" style="1" width="42"/>
    <col collapsed="false" customWidth="true" hidden="false" outlineLevel="0" max="6" min="5" style="1" width="14"/>
    <col collapsed="false" customWidth="true" hidden="false" outlineLevel="0" max="7" min="7" style="1" width="38"/>
  </cols>
  <sheetData>
    <row r="1" customFormat="false" ht="17.25" hidden="false" customHeight="true" outlineLevel="0" collapsed="false">
      <c r="A1" s="2" t="s">
        <v>178</v>
      </c>
      <c r="B1" s="2"/>
      <c r="C1" s="2"/>
      <c r="D1" s="2"/>
      <c r="E1" s="2"/>
      <c r="F1" s="2"/>
      <c r="G1" s="2"/>
    </row>
    <row r="3" customFormat="false" ht="15" hidden="false" customHeight="true" outlineLevel="0" collapsed="false">
      <c r="A3" s="3" t="s">
        <v>179</v>
      </c>
      <c r="B3" s="14" t="s">
        <v>180</v>
      </c>
      <c r="C3" s="14"/>
      <c r="D3" s="14"/>
      <c r="E3" s="14"/>
      <c r="F3" s="14"/>
      <c r="G3" s="14"/>
    </row>
    <row r="5" customFormat="false" ht="15" hidden="false" customHeight="true" outlineLevel="0" collapsed="false">
      <c r="A5" s="6" t="s">
        <v>181</v>
      </c>
      <c r="B5" s="6" t="s">
        <v>182</v>
      </c>
      <c r="C5" s="6" t="s">
        <v>183</v>
      </c>
      <c r="D5" s="6" t="s">
        <v>184</v>
      </c>
      <c r="E5" s="6" t="s">
        <v>185</v>
      </c>
      <c r="F5" s="6" t="s">
        <v>186</v>
      </c>
      <c r="G5" s="6" t="s">
        <v>13</v>
      </c>
    </row>
    <row r="6" customFormat="false" ht="90" hidden="false" customHeight="true" outlineLevel="0" collapsed="false">
      <c r="A6" s="8" t="s">
        <v>187</v>
      </c>
      <c r="B6" s="8" t="s">
        <v>188</v>
      </c>
      <c r="C6" s="8" t="s">
        <v>189</v>
      </c>
      <c r="D6" s="8" t="s">
        <v>190</v>
      </c>
      <c r="E6" s="12" t="s">
        <v>191</v>
      </c>
      <c r="F6" s="15" t="s">
        <v>192</v>
      </c>
      <c r="G6" s="16" t="s">
        <v>193</v>
      </c>
    </row>
    <row r="7" customFormat="false" ht="90" hidden="false" customHeight="true" outlineLevel="0" collapsed="false">
      <c r="A7" s="8" t="s">
        <v>194</v>
      </c>
      <c r="B7" s="8" t="s">
        <v>195</v>
      </c>
      <c r="C7" s="8" t="s">
        <v>196</v>
      </c>
      <c r="D7" s="8" t="s">
        <v>197</v>
      </c>
      <c r="E7" s="12" t="s">
        <v>198</v>
      </c>
      <c r="F7" s="12" t="s">
        <v>199</v>
      </c>
      <c r="G7" s="16" t="s">
        <v>200</v>
      </c>
    </row>
    <row r="8" customFormat="false" ht="90" hidden="false" customHeight="true" outlineLevel="0" collapsed="false">
      <c r="A8" s="8" t="s">
        <v>201</v>
      </c>
      <c r="B8" s="8" t="s">
        <v>202</v>
      </c>
      <c r="C8" s="8" t="s">
        <v>203</v>
      </c>
      <c r="D8" s="8" t="s">
        <v>204</v>
      </c>
      <c r="E8" s="12" t="s">
        <v>205</v>
      </c>
      <c r="F8" s="12" t="s">
        <v>206</v>
      </c>
      <c r="G8" s="16" t="s">
        <v>207</v>
      </c>
    </row>
    <row r="9" customFormat="false" ht="90" hidden="false" customHeight="true" outlineLevel="0" collapsed="false">
      <c r="A9" s="8" t="s">
        <v>208</v>
      </c>
      <c r="B9" s="8" t="s">
        <v>209</v>
      </c>
      <c r="C9" s="8" t="s">
        <v>210</v>
      </c>
      <c r="D9" s="8" t="s">
        <v>211</v>
      </c>
      <c r="E9" s="12" t="s">
        <v>212</v>
      </c>
      <c r="F9" s="15" t="s">
        <v>213</v>
      </c>
      <c r="G9" s="16" t="s">
        <v>214</v>
      </c>
    </row>
    <row r="10" customFormat="false" ht="90" hidden="false" customHeight="true" outlineLevel="0" collapsed="false">
      <c r="A10" s="8" t="s">
        <v>215</v>
      </c>
      <c r="B10" s="8" t="s">
        <v>216</v>
      </c>
      <c r="C10" s="17" t="s">
        <v>217</v>
      </c>
      <c r="D10" s="8" t="s">
        <v>218</v>
      </c>
      <c r="E10" s="12" t="s">
        <v>198</v>
      </c>
      <c r="F10" s="12" t="s">
        <v>199</v>
      </c>
      <c r="G10" s="16" t="s">
        <v>200</v>
      </c>
    </row>
    <row r="11" customFormat="false" ht="90" hidden="false" customHeight="true" outlineLevel="0" collapsed="false">
      <c r="A11" s="8" t="s">
        <v>219</v>
      </c>
      <c r="B11" s="8" t="s">
        <v>220</v>
      </c>
      <c r="C11" s="8" t="s">
        <v>221</v>
      </c>
      <c r="D11" s="8" t="s">
        <v>222</v>
      </c>
      <c r="E11" s="12" t="s">
        <v>191</v>
      </c>
      <c r="F11" s="15" t="s">
        <v>192</v>
      </c>
      <c r="G11" s="16" t="s">
        <v>223</v>
      </c>
    </row>
    <row r="12" customFormat="false" ht="90" hidden="false" customHeight="true" outlineLevel="0" collapsed="false">
      <c r="A12" s="8" t="s">
        <v>224</v>
      </c>
      <c r="B12" s="8" t="s">
        <v>225</v>
      </c>
      <c r="C12" s="8" t="s">
        <v>226</v>
      </c>
      <c r="D12" s="8" t="s">
        <v>227</v>
      </c>
      <c r="E12" s="12" t="s">
        <v>205</v>
      </c>
      <c r="F12" s="12" t="s">
        <v>206</v>
      </c>
      <c r="G12" s="16" t="s">
        <v>228</v>
      </c>
    </row>
    <row r="13" customFormat="false" ht="90" hidden="false" customHeight="true" outlineLevel="0" collapsed="false">
      <c r="A13" s="8" t="s">
        <v>229</v>
      </c>
      <c r="B13" s="8" t="s">
        <v>230</v>
      </c>
      <c r="C13" s="8" t="s">
        <v>231</v>
      </c>
      <c r="D13" s="8" t="s">
        <v>232</v>
      </c>
      <c r="E13" s="12" t="s">
        <v>205</v>
      </c>
      <c r="F13" s="12" t="s">
        <v>206</v>
      </c>
      <c r="G13" s="16" t="s">
        <v>233</v>
      </c>
    </row>
  </sheetData>
  <mergeCells count="2">
    <mergeCell ref="A1:G1"/>
    <mergeCell ref="B3:G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12"/>
    <col collapsed="false" customWidth="true" hidden="false" outlineLevel="0" max="2" min="2" style="1" width="14"/>
    <col collapsed="false" customWidth="true" hidden="false" outlineLevel="0" max="3" min="3" style="1" width="28"/>
    <col collapsed="false" customWidth="true" hidden="false" outlineLevel="0" max="5" min="4" style="1" width="50"/>
    <col collapsed="false" customWidth="true" hidden="false" outlineLevel="0" max="6" min="6" style="1" width="12"/>
  </cols>
  <sheetData>
    <row r="1" customFormat="false" ht="17.25" hidden="false" customHeight="true" outlineLevel="0" collapsed="false">
      <c r="A1" s="2" t="s">
        <v>234</v>
      </c>
      <c r="B1" s="2"/>
      <c r="C1" s="2"/>
      <c r="D1" s="2"/>
      <c r="E1" s="2"/>
      <c r="F1" s="2"/>
    </row>
    <row r="3" customFormat="false" ht="15" hidden="false" customHeight="true" outlineLevel="0" collapsed="false">
      <c r="A3" s="3" t="s">
        <v>179</v>
      </c>
      <c r="B3" s="14" t="s">
        <v>235</v>
      </c>
      <c r="C3" s="14"/>
      <c r="D3" s="14"/>
      <c r="E3" s="14"/>
      <c r="F3" s="14"/>
    </row>
    <row r="5" customFormat="false" ht="15" hidden="false" customHeight="true" outlineLevel="0" collapsed="false">
      <c r="A5" s="6" t="s">
        <v>236</v>
      </c>
      <c r="B5" s="6" t="s">
        <v>237</v>
      </c>
      <c r="C5" s="5" t="s">
        <v>238</v>
      </c>
      <c r="D5" s="6" t="s">
        <v>239</v>
      </c>
      <c r="E5" s="6" t="s">
        <v>240</v>
      </c>
      <c r="F5" s="6" t="s">
        <v>241</v>
      </c>
    </row>
    <row r="6" customFormat="false" ht="69.75" hidden="false" customHeight="true" outlineLevel="0" collapsed="false">
      <c r="A6" s="18" t="s">
        <v>242</v>
      </c>
      <c r="B6" s="17" t="s">
        <v>243</v>
      </c>
      <c r="C6" s="19" t="s">
        <v>244</v>
      </c>
      <c r="D6" s="17" t="s">
        <v>245</v>
      </c>
      <c r="E6" s="17" t="s">
        <v>246</v>
      </c>
      <c r="F6" s="20" t="s">
        <v>247</v>
      </c>
    </row>
    <row r="7" customFormat="false" ht="69.75" hidden="false" customHeight="true" outlineLevel="0" collapsed="false">
      <c r="A7" s="18" t="s">
        <v>242</v>
      </c>
      <c r="B7" s="17" t="s">
        <v>243</v>
      </c>
      <c r="C7" s="19" t="s">
        <v>248</v>
      </c>
      <c r="D7" s="17" t="s">
        <v>249</v>
      </c>
      <c r="E7" s="17" t="s">
        <v>250</v>
      </c>
      <c r="F7" s="20" t="s">
        <v>247</v>
      </c>
    </row>
    <row r="8" customFormat="false" ht="69.75" hidden="false" customHeight="true" outlineLevel="0" collapsed="false">
      <c r="A8" s="18" t="s">
        <v>251</v>
      </c>
      <c r="B8" s="17" t="s">
        <v>252</v>
      </c>
      <c r="C8" s="19" t="s">
        <v>253</v>
      </c>
      <c r="D8" s="17" t="s">
        <v>254</v>
      </c>
      <c r="E8" s="17" t="s">
        <v>255</v>
      </c>
      <c r="F8" s="20" t="s">
        <v>256</v>
      </c>
    </row>
    <row r="9" customFormat="false" ht="69.75" hidden="false" customHeight="true" outlineLevel="0" collapsed="false">
      <c r="A9" s="18" t="s">
        <v>251</v>
      </c>
      <c r="B9" s="17" t="s">
        <v>257</v>
      </c>
      <c r="C9" s="19" t="s">
        <v>258</v>
      </c>
      <c r="D9" s="17" t="s">
        <v>259</v>
      </c>
      <c r="E9" s="17" t="s">
        <v>260</v>
      </c>
      <c r="F9" s="20" t="s">
        <v>247</v>
      </c>
    </row>
    <row r="10" customFormat="false" ht="69.75" hidden="false" customHeight="true" outlineLevel="0" collapsed="false">
      <c r="A10" s="18" t="s">
        <v>251</v>
      </c>
      <c r="B10" s="17" t="s">
        <v>261</v>
      </c>
      <c r="C10" s="19" t="s">
        <v>262</v>
      </c>
      <c r="D10" s="17" t="s">
        <v>263</v>
      </c>
      <c r="E10" s="17" t="s">
        <v>264</v>
      </c>
      <c r="F10" s="20" t="s">
        <v>247</v>
      </c>
    </row>
    <row r="11" customFormat="false" ht="69.75" hidden="false" customHeight="true" outlineLevel="0" collapsed="false">
      <c r="A11" s="18" t="s">
        <v>265</v>
      </c>
      <c r="B11" s="17" t="s">
        <v>266</v>
      </c>
      <c r="C11" s="19" t="s">
        <v>267</v>
      </c>
      <c r="D11" s="17" t="s">
        <v>268</v>
      </c>
      <c r="E11" s="17" t="s">
        <v>269</v>
      </c>
      <c r="F11" s="20" t="s">
        <v>270</v>
      </c>
    </row>
    <row r="12" customFormat="false" ht="69.75" hidden="false" customHeight="true" outlineLevel="0" collapsed="false">
      <c r="A12" s="18" t="s">
        <v>265</v>
      </c>
      <c r="B12" s="17" t="s">
        <v>271</v>
      </c>
      <c r="C12" s="21" t="s">
        <v>272</v>
      </c>
      <c r="D12" s="17" t="s">
        <v>273</v>
      </c>
      <c r="E12" s="17" t="s">
        <v>274</v>
      </c>
      <c r="F12" s="20" t="s">
        <v>275</v>
      </c>
    </row>
    <row r="13" customFormat="false" ht="69.75" hidden="false" customHeight="true" outlineLevel="0" collapsed="false">
      <c r="A13" s="18" t="s">
        <v>265</v>
      </c>
      <c r="B13" s="8" t="s">
        <v>276</v>
      </c>
      <c r="C13" s="21" t="s">
        <v>277</v>
      </c>
      <c r="D13" s="17" t="s">
        <v>278</v>
      </c>
      <c r="E13" s="17" t="s">
        <v>279</v>
      </c>
      <c r="F13" s="20" t="s">
        <v>247</v>
      </c>
    </row>
  </sheetData>
  <mergeCells count="2">
    <mergeCell ref="A1:F1"/>
    <mergeCell ref="B3:F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2026-06-01T22:49:25Z</dcterms:created>
  <dc:creator>openpyxl</dc:creator>
  <dc:description/>
  <dc:language>en-US</dc:language>
  <cp:lastModifiedBy/>
  <dcterms:modified xsi:type="dcterms:W3CDTF">2026-06-01T23:05:49Z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