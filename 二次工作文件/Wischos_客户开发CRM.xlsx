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板" sheetId="1" state="visible" r:id="rId1"/>
    <sheet xmlns:r="http://schemas.openxmlformats.org/officeDocument/2006/relationships" name="客户库" sheetId="2" state="visible" r:id="rId2"/>
    <sheet xmlns:r="http://schemas.openxmlformats.org/officeDocument/2006/relationships" name="跟进日志" sheetId="3" state="visible" r:id="rId3"/>
    <sheet xmlns:r="http://schemas.openxmlformats.org/officeDocument/2006/relationships" name="报价记录" sheetId="4" state="visible" r:id="rId4"/>
    <sheet xmlns:r="http://schemas.openxmlformats.org/officeDocument/2006/relationships" name="使用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b val="1"/>
      <sz val="14"/>
    </font>
    <font>
      <name val="Arial"/>
      <i val="1"/>
      <color rgb="00595959"/>
      <sz val="8"/>
    </font>
    <font>
      <name val="Arial"/>
      <b val="1"/>
      <color rgb="00FFFFFF"/>
      <sz val="10"/>
    </font>
    <font>
      <name val="Arial"/>
      <sz val="9"/>
    </font>
    <font>
      <name val="Arial"/>
      <color rgb="000563C1"/>
      <sz val="9"/>
      <u val="single"/>
    </font>
    <font>
      <name val="Arial"/>
      <b val="1"/>
      <color rgb="00FFFFFF"/>
      <sz val="12"/>
      <u val="single"/>
    </font>
    <font>
      <name val="Arial"/>
      <b val="1"/>
      <color rgb="00FFFFFF"/>
      <sz val="13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2F5496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left" vertical="top" wrapText="1"/>
    </xf>
    <xf numFmtId="164" fontId="0" fillId="0" borderId="0" pivotButton="0" quotePrefix="0" xfId="0"/>
    <xf numFmtId="164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left" vertical="top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FFD9D9"/>
          <bgColor rgb="00FFD9D9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E2EFDA"/>
          <bgColor rgb="00E2EFDA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DDEBF7"/>
          <bgColor rgb="00DDEBF7"/>
        </patternFill>
      </fill>
    </dxf>
    <dxf>
      <fill>
        <patternFill patternType="solid">
          <fgColor rgb="00FCE4D6"/>
          <b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&#20027;&#26495;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&#20027;&#26495;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&#20027;&#26495;!A1" TargetMode="Externa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K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1" customWidth="1" min="4" max="4"/>
    <col width="13" customWidth="1" min="5" max="5"/>
    <col width="13" customWidth="1" min="6" max="6"/>
    <col width="9" customWidth="1" min="7" max="7"/>
    <col width="12" customWidth="1" min="8" max="8"/>
    <col width="12" customWidth="1" min="9" max="9"/>
    <col width="10" customWidth="1" min="10" max="10"/>
    <col width="36" customWidth="1" min="11" max="11"/>
  </cols>
  <sheetData>
    <row r="1" ht="32" customHeight="1">
      <c r="A1" s="1" t="inlineStr">
        <is>
          <t>Wischos Gift Trading — 客户开发 CRM</t>
        </is>
      </c>
    </row>
    <row r="2" ht="18" customHeight="1">
      <c r="A2" s="2" t="inlineStr">
        <is>
          <t>待接触</t>
        </is>
      </c>
      <c r="B2" s="2" t="inlineStr">
        <is>
          <t>已建对话</t>
        </is>
      </c>
      <c r="C2" s="2" t="inlineStr">
        <is>
          <t>询盘/报价中</t>
        </is>
      </c>
      <c r="D2" s="2" t="inlineStr">
        <is>
          <t>已成单</t>
        </is>
      </c>
      <c r="E2" s="2" t="inlineStr">
        <is>
          <t>暂停/放弃</t>
        </is>
      </c>
      <c r="F2" s="2" t="inlineStr">
        <is>
          <t>客户总数</t>
        </is>
      </c>
      <c r="G2" s="3" t="n"/>
    </row>
    <row r="3" ht="28" customHeight="1">
      <c r="A3" s="4">
        <f>COUNTIF($F$7:$F$2000,"待接触")</f>
        <v/>
      </c>
      <c r="B3" s="4">
        <f>COUNTIF($F$7:$F$2000,"已发消息")+COUNTIF($F$7:$F$2000,"已建对话")+COUNTIF($F$7:$F$2000,"产品信息已发")</f>
        <v/>
      </c>
      <c r="C3" s="4">
        <f>COUNTIF($F$7:$F$2000,"询盘中")+COUNTIF($F$7:$F$2000,"报价已发")+COUNTIF($F$7:$F$2000,"谈判中")</f>
        <v/>
      </c>
      <c r="D3" s="4">
        <f>COUNTIF($F$7:$F$2000,"已成单")</f>
        <v/>
      </c>
      <c r="E3" s="4">
        <f>COUNTIF($F$7:$F$2000,"暂停跟进")+COUNTIF($F$7:$F$2000,"放弃")</f>
        <v/>
      </c>
      <c r="F3" s="4">
        <f>COUNTA($A$7:$A$2000)</f>
        <v/>
      </c>
    </row>
    <row r="4" ht="15" customHeight="1">
      <c r="A4" s="5" t="inlineStr">
        <is>
          <t xml:space="preserve">  提示：B列公司名可点击跳转客户详情库 · 阶段/优先级在此直接修改 · 每次跟进后在【跟进日志】新增一行</t>
        </is>
      </c>
    </row>
    <row r="5" ht="6" customHeight="1"/>
    <row r="6" ht="22" customHeight="1">
      <c r="A6" s="6" t="inlineStr">
        <is>
          <t>ID</t>
        </is>
      </c>
      <c r="B6" s="6" t="inlineStr">
        <is>
          <t>公司名</t>
        </is>
      </c>
      <c r="C6" s="6" t="inlineStr">
        <is>
          <t>联系人</t>
        </is>
      </c>
      <c r="D6" s="6" t="inlineStr">
        <is>
          <t>买家类型</t>
        </is>
      </c>
      <c r="E6" s="6" t="inlineStr">
        <is>
          <t>国家/地区</t>
        </is>
      </c>
      <c r="F6" s="6" t="inlineStr">
        <is>
          <t>当前阶段</t>
        </is>
      </c>
      <c r="G6" s="6" t="inlineStr">
        <is>
          <t>优先级</t>
        </is>
      </c>
      <c r="H6" s="6" t="inlineStr">
        <is>
          <t>上次跟进</t>
        </is>
      </c>
      <c r="I6" s="6" t="inlineStr">
        <is>
          <t>下次跟进</t>
        </is>
      </c>
      <c r="J6" s="6" t="inlineStr">
        <is>
          <t>跟进次数</t>
        </is>
      </c>
      <c r="K6" s="6" t="inlineStr">
        <is>
          <t>快速备注</t>
        </is>
      </c>
    </row>
    <row r="7" ht="20" customHeight="1">
      <c r="A7" s="7" t="inlineStr">
        <is>
          <t>C001</t>
        </is>
      </c>
      <c r="B7" s="8">
        <f>IFERROR(HYPERLINK("#客户库!A"&amp;MATCH(A7,客户库!$A:$A,0),VLOOKUP(A7,客户库!$A:$B,2,0)),A7)</f>
        <v/>
      </c>
      <c r="C7" s="7" t="inlineStr">
        <is>
          <t>Anthony Rogers-Altman</t>
        </is>
      </c>
      <c r="D7" s="7" t="inlineStr">
        <is>
          <t>分销商</t>
        </is>
      </c>
      <c r="E7" s="7" t="inlineStr">
        <is>
          <t>澳大利亚</t>
        </is>
      </c>
      <c r="F7" s="7" t="inlineStr">
        <is>
          <t>待接触</t>
        </is>
      </c>
      <c r="G7" s="7" t="inlineStr">
        <is>
          <t>A</t>
        </is>
      </c>
      <c r="H7" s="7" t="inlineStr"/>
      <c r="I7" s="7" t="inlineStr">
        <is>
          <t>2026-04-22</t>
        </is>
      </c>
      <c r="J7" s="7">
        <f>IFERROR(COUNTIF(跟进日志!$C:$C,A7),0)</f>
        <v/>
      </c>
      <c r="K7" s="9" t="inlineStr">
        <is>
          <t>20+年行业经验；近期注册RAS Marketing Support</t>
        </is>
      </c>
    </row>
    <row r="8">
      <c r="A8" s="7" t="inlineStr">
        <is>
          <t>C002</t>
        </is>
      </c>
      <c r="B8" s="8">
        <f>IFERROR(HYPERLINK("#客户库!A"&amp;MATCH(A8,客户库!$A:$A,0),VLOOKUP(A8,客户库!$A:$B,2,0)),A8)</f>
        <v/>
      </c>
      <c r="C8" s="7" t="inlineStr">
        <is>
          <t>Warren Gross</t>
        </is>
      </c>
      <c r="D8" s="7" t="inlineStr">
        <is>
          <t>分销商（待验证）</t>
        </is>
      </c>
      <c r="E8" s="7" t="inlineStr">
        <is>
          <t>加拿大</t>
        </is>
      </c>
      <c r="F8" s="7" t="inlineStr">
        <is>
          <t>已建对话</t>
        </is>
      </c>
      <c r="G8" s="7" t="inlineStr">
        <is>
          <t>B-</t>
        </is>
      </c>
      <c r="H8" s="21" t="n">
        <v>46164</v>
      </c>
      <c r="I8" s="21" t="n">
        <v>46171</v>
      </c>
      <c r="J8" s="7">
        <f>IFERROR(COUNTIF(跟进日志!$C:$C,A8),0)</f>
        <v/>
      </c>
      <c r="K8" s="9" t="inlineStr">
        <is>
          <t>2026-05-16发邀请；2026-05-20接受并回复"Let's connect and chat!"；2026-05-22发首条qualifying私信，待回复</t>
        </is>
      </c>
    </row>
    <row r="9">
      <c r="A9" t="inlineStr">
        <is>
          <t>C003</t>
        </is>
      </c>
      <c r="B9">
        <f>IFERROR(HYPERLINK("#客户库!A"&amp;MATCH(A9,客户库!$A:$A,0),VLOOKUP(A9,客户库!$A:$B,2,0)),A9)</f>
        <v/>
      </c>
      <c r="C9" t="inlineStr">
        <is>
          <t>Graeme Dawes</t>
        </is>
      </c>
      <c r="D9" t="inlineStr">
        <is>
          <t>分销商</t>
        </is>
      </c>
      <c r="E9" t="inlineStr">
        <is>
          <t>加拿大</t>
        </is>
      </c>
      <c r="F9" t="inlineStr">
        <is>
          <t>已发消息</t>
        </is>
      </c>
      <c r="G9" t="inlineStr">
        <is>
          <t>A</t>
        </is>
      </c>
      <c r="H9" s="24" t="n">
        <v>46172</v>
      </c>
      <c r="J9">
        <f>IFERROR(COUNTIF(跟进日志!$C:$C,A9),0)</f>
        <v/>
      </c>
    </row>
  </sheetData>
  <mergeCells count="3">
    <mergeCell ref="A1:K1"/>
    <mergeCell ref="A4:K4"/>
    <mergeCell ref="G2:K2"/>
  </mergeCells>
  <conditionalFormatting sqref="G7:G2000">
    <cfRule type="cellIs" priority="1" operator="equal" dxfId="0">
      <formula>"A"</formula>
    </cfRule>
    <cfRule type="cellIs" priority="2" operator="equal" dxfId="1">
      <formula>"B"</formula>
    </cfRule>
    <cfRule type="cellIs" priority="3" operator="equal" dxfId="2">
      <formula>"C"</formula>
    </cfRule>
  </conditionalFormatting>
  <conditionalFormatting sqref="F7:F2000">
    <cfRule type="cellIs" priority="4" operator="equal" dxfId="3">
      <formula>"已成单"</formula>
    </cfRule>
    <cfRule type="cellIs" priority="5" operator="equal" dxfId="4">
      <formula>"询盘中"</formula>
    </cfRule>
    <cfRule type="cellIs" priority="6" operator="equal" dxfId="5">
      <formula>"报价已发"</formula>
    </cfRule>
  </conditionalFormatting>
  <dataValidations count="3">
    <dataValidation sqref="F7:F2000" showDropDown="0" showInputMessage="0" showErrorMessage="0" allowBlank="1" type="list">
      <formula1>"待接触,已发消息,已建对话,产品信息已发,询盘中,报价已发,谈判中,已成单,暂停跟进,放弃"</formula1>
    </dataValidation>
    <dataValidation sqref="G7:G2000" showDropDown="0" showInputMessage="0" showErrorMessage="0" allowBlank="1" type="list">
      <formula1>"A,B,C"</formula1>
    </dataValidation>
    <dataValidation sqref="D7:D2000" showDropDown="0" showInputMessage="0" showErrorMessage="0" allowBlank="1" type="list">
      <formula1>"分销商,直客企业"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T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5" customWidth="1" min="2" max="2"/>
    <col width="16" customWidth="1" min="3" max="3"/>
    <col width="16" customWidth="1" min="4" max="4"/>
    <col width="11" customWidth="1" min="5" max="5"/>
    <col width="38" customWidth="1" min="6" max="6"/>
    <col width="28" customWidth="1" min="7" max="7"/>
    <col width="16" customWidth="1" min="8" max="8"/>
    <col width="15" customWidth="1" min="9" max="9"/>
    <col width="18" customWidth="1" min="10" max="10"/>
    <col width="12" customWidth="1" min="11" max="11"/>
    <col width="32" customWidth="1" min="12" max="12"/>
    <col width="11" customWidth="1" min="13" max="13"/>
    <col width="18" customWidth="1" min="14" max="14"/>
    <col width="36" customWidth="1" min="15" max="15"/>
    <col width="36" customWidth="1" min="16" max="16"/>
    <col width="28" customWidth="1" min="17" max="17"/>
    <col width="28" customWidth="1" min="18" max="18"/>
    <col width="20" customWidth="1" min="19" max="19"/>
    <col width="13" customWidth="1" min="20" max="20"/>
  </cols>
  <sheetData>
    <row r="1" ht="28" customHeight="1">
      <c r="A1" s="10" t="inlineStr">
        <is>
          <t>Wischos Gift — 客户详情库                                      ← 点击返回主板</t>
        </is>
      </c>
    </row>
    <row r="2" ht="18" customHeight="1">
      <c r="A2" s="11" t="inlineStr">
        <is>
          <t>基本信息</t>
        </is>
      </c>
      <c r="F2" s="11" t="inlineStr">
        <is>
          <t>联系方式</t>
        </is>
      </c>
      <c r="J2" s="11" t="inlineStr">
        <is>
          <t>公司画像</t>
        </is>
      </c>
      <c r="O2" s="11" t="inlineStr">
        <is>
          <t>开发策略</t>
        </is>
      </c>
      <c r="S2" s="11" t="inlineStr">
        <is>
          <t>档案</t>
        </is>
      </c>
    </row>
    <row r="3" ht="22" customHeight="1">
      <c r="A3" s="12" t="inlineStr">
        <is>
          <t>ID</t>
        </is>
      </c>
      <c r="B3" s="12" t="inlineStr">
        <is>
          <t>公司名</t>
        </is>
      </c>
      <c r="C3" s="12" t="inlineStr">
        <is>
          <t>联系人</t>
        </is>
      </c>
      <c r="D3" s="12" t="inlineStr">
        <is>
          <t>职位</t>
        </is>
      </c>
      <c r="E3" s="12" t="inlineStr">
        <is>
          <t>买家类型</t>
        </is>
      </c>
      <c r="F3" s="12" t="inlineStr">
        <is>
          <t>LinkedIn URL</t>
        </is>
      </c>
      <c r="G3" s="12" t="inlineStr">
        <is>
          <t>邮箱</t>
        </is>
      </c>
      <c r="H3" s="12" t="inlineStr">
        <is>
          <t>电话</t>
        </is>
      </c>
      <c r="I3" s="12" t="inlineStr">
        <is>
          <t>WhatsApp</t>
        </is>
      </c>
      <c r="J3" s="12" t="inlineStr">
        <is>
          <t>国家/城市</t>
        </is>
      </c>
      <c r="K3" s="12" t="inlineStr">
        <is>
          <t>公司规模</t>
        </is>
      </c>
      <c r="L3" s="12" t="inlineStr">
        <is>
          <t>主营业务</t>
        </is>
      </c>
      <c r="M3" s="12" t="inlineStr">
        <is>
          <t>成立时间</t>
        </is>
      </c>
      <c r="N3" s="12" t="inlineStr">
        <is>
          <t>行业协会</t>
        </is>
      </c>
      <c r="O3" s="12" t="inlineStr">
        <is>
          <t>切入角度</t>
        </is>
      </c>
      <c r="P3" s="12" t="inlineStr">
        <is>
          <t>核心价值主张</t>
        </is>
      </c>
      <c r="Q3" s="12" t="inlineStr">
        <is>
          <t>决策特征</t>
        </is>
      </c>
      <c r="R3" s="12" t="inlineStr">
        <is>
          <t>风险/注意</t>
        </is>
      </c>
      <c r="S3" s="12" t="inlineStr">
        <is>
          <t>信息来源</t>
        </is>
      </c>
      <c r="T3" s="12" t="inlineStr">
        <is>
          <t>建档日期</t>
        </is>
      </c>
    </row>
    <row r="4" ht="60" customHeight="1">
      <c r="A4" s="13" t="inlineStr">
        <is>
          <t>C001</t>
        </is>
      </c>
      <c r="B4" s="13" t="inlineStr">
        <is>
          <t>PR Promotional Products</t>
        </is>
      </c>
      <c r="C4" s="13" t="inlineStr">
        <is>
          <t>Anthony Rogers-Altman</t>
        </is>
      </c>
      <c r="D4" s="13" t="inlineStr">
        <is>
          <t>Owner / Director</t>
        </is>
      </c>
      <c r="E4" s="13" t="inlineStr">
        <is>
          <t>分销商</t>
        </is>
      </c>
      <c r="F4" s="13" t="inlineStr">
        <is>
          <t>https://au.linkedin.com/in/anthony-rogers-altman-1838791b</t>
        </is>
      </c>
      <c r="G4" s="13" t="inlineStr">
        <is>
          <t>sales@prproducts.com.au</t>
        </is>
      </c>
      <c r="H4" s="13" t="inlineStr">
        <is>
          <t>+61 8 8132 1204</t>
        </is>
      </c>
      <c r="I4" s="13" t="inlineStr"/>
      <c r="J4" s="13" t="inlineStr">
        <is>
          <t>Adelaide, SA · 澳大利亚</t>
        </is>
      </c>
      <c r="K4" s="13" t="inlineStr">
        <is>
          <t>2–10人</t>
        </is>
      </c>
      <c r="L4" s="13" t="inlineStr">
        <is>
          <t>企业品牌促销品、定制印刷、海外采购、仓储履约</t>
        </is>
      </c>
      <c r="M4" s="13" t="inlineStr">
        <is>
          <t>2001年</t>
        </is>
      </c>
      <c r="N4" s="13" t="inlineStr">
        <is>
          <t>APPA会员</t>
        </is>
      </c>
      <c r="O4" s="13" t="inlineStr">
        <is>
          <t>供应链合作：金属礼品套件补充其现有产品线，提升毛利</t>
        </is>
      </c>
      <c r="P4" s="13" t="inlineStr">
        <is>
          <t>FOB有竞争力；金属材质差异化；稳定供应；快速打样</t>
        </is>
      </c>
      <c r="Q4" s="13" t="inlineStr">
        <is>
          <t>小公司决策链短，Anthony本人直接拍板，无需走多层审批</t>
        </is>
      </c>
      <c r="R4" s="13" t="inlineStr">
        <is>
          <t>数字化足迹低；不要泛泛推销；要给出具体合作场景</t>
        </is>
      </c>
      <c r="S4" s="13" t="inlineStr">
        <is>
          <t>LinkedIn + ABN Lookup + 行业目录</t>
        </is>
      </c>
      <c r="T4" s="13" t="inlineStr">
        <is>
          <t>2026-04-21</t>
        </is>
      </c>
    </row>
    <row r="5">
      <c r="A5" s="13" t="inlineStr">
        <is>
          <t>C002</t>
        </is>
      </c>
      <c r="B5" s="13" t="inlineStr">
        <is>
          <t>Alberta Custom Flag and Banner</t>
        </is>
      </c>
      <c r="C5" s="13" t="inlineStr">
        <is>
          <t>Warren Gross</t>
        </is>
      </c>
      <c r="D5" s="13" t="inlineStr">
        <is>
          <t>Founder / Owner</t>
        </is>
      </c>
      <c r="E5" s="13" t="inlineStr">
        <is>
          <t>分销商（待验证）</t>
        </is>
      </c>
      <c r="F5" s="13" t="inlineStr">
        <is>
          <t>https://ca.linkedin.com/in/warren-gross-a23a07147</t>
        </is>
      </c>
      <c r="G5" s="13" t="inlineStr">
        <is>
          <t>info@albertacustom.ca</t>
        </is>
      </c>
      <c r="H5" s="13" t="inlineStr">
        <is>
          <t>(825) 439-4246</t>
        </is>
      </c>
      <c r="I5" s="13" t="n"/>
      <c r="J5" s="13" t="inlineStr">
        <is>
          <t>Edmonton, AB · 加拿大</t>
        </is>
      </c>
      <c r="K5" s="13" t="inlineStr">
        <is>
          <t>1–10人</t>
        </is>
      </c>
      <c r="L5" s="13" t="inlineStr">
        <is>
          <t>旗帜/横幅/标牌/定制服装/promo products/结构化品牌项目（Alberta Custom是Marketing Time Inc.旗下specialty brand）</t>
        </is>
      </c>
      <c r="M5" s="13" t="inlineStr">
        <is>
          <t>2022年</t>
        </is>
      </c>
      <c r="N5" s="13" t="inlineStr">
        <is>
          <t>未确认PPPC</t>
        </is>
      </c>
      <c r="O5" s="13" t="inlineStr">
        <is>
          <t>non-apparel promo products补充；可标准化、可复购金属SKU，适配其repeatable branding programs</t>
        </is>
      </c>
      <c r="P5" s="13" t="inlineStr">
        <is>
          <t>金属笔/drinkware/EDC/桌面件，可作为repeatable branded SKU补充现有signage/apparel项目</t>
        </is>
      </c>
      <c r="Q5" s="13" t="inlineStr">
        <is>
          <t>Warren是Owner/core operator，决策链短，直接拍板</t>
        </is>
      </c>
      <c r="R5" s="13" t="inlineStr">
        <is>
          <t>公司小（1人），主业偏flags/apparel；海外sourcing接受度待验证；MOQ 100件可能偏大</t>
        </is>
      </c>
      <c r="S5" s="13" t="inlineStr">
        <is>
          <t>LinkedIn + 官网 + 双流程调查（2026-05-16）</t>
        </is>
      </c>
      <c r="T5" s="22" t="n">
        <v>46158</v>
      </c>
    </row>
    <row r="6">
      <c r="A6" t="inlineStr">
        <is>
          <t>C003</t>
        </is>
      </c>
      <c r="B6" t="inlineStr">
        <is>
          <t>Brandz Marketing Inc.</t>
        </is>
      </c>
      <c r="C6" t="inlineStr">
        <is>
          <t>Graeme Dawes</t>
        </is>
      </c>
      <c r="D6" t="inlineStr">
        <is>
          <t>CEO &amp; President</t>
        </is>
      </c>
      <c r="E6" t="inlineStr">
        <is>
          <t>分销商</t>
        </is>
      </c>
      <c r="F6" t="inlineStr">
        <is>
          <t>https://brandzmarketing.com/</t>
        </is>
      </c>
      <c r="J6" t="inlineStr">
        <is>
          <t>Stony Plain, AB · 加拿大</t>
        </is>
      </c>
    </row>
  </sheetData>
  <mergeCells count="6">
    <mergeCell ref="A1:T1"/>
    <mergeCell ref="S2:T2"/>
    <mergeCell ref="A2:E2"/>
    <mergeCell ref="F2:I2"/>
    <mergeCell ref="J2:N2"/>
    <mergeCell ref="O2:R2"/>
  </mergeCells>
  <dataValidations count="1">
    <dataValidation sqref="E4:E2000" showDropDown="0" showInputMessage="0" showErrorMessage="0" allowBlank="1" type="list">
      <formula1>"分销商,直客企业"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L5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9" customWidth="1" min="3" max="3"/>
    <col width="22" customWidth="1" min="4" max="4"/>
    <col width="16" customWidth="1" min="5" max="5"/>
    <col width="12" customWidth="1" min="6" max="6"/>
    <col width="9" customWidth="1" min="7" max="7"/>
    <col width="50" customWidth="1" min="8" max="8"/>
    <col width="36" customWidth="1" min="9" max="9"/>
    <col width="16" customWidth="1" min="10" max="10"/>
    <col width="38" customWidth="1" min="11" max="11"/>
    <col width="14" customWidth="1" min="12" max="12"/>
  </cols>
  <sheetData>
    <row r="1" ht="28" customHeight="1">
      <c r="A1" s="10" t="inlineStr">
        <is>
          <t>Wischos Gift — 跟进日志                                        ← 点击返回主板</t>
        </is>
      </c>
    </row>
    <row r="2" ht="22" customHeight="1">
      <c r="A2" s="6" t="inlineStr">
        <is>
          <t>序号</t>
        </is>
      </c>
      <c r="B2" s="6" t="inlineStr">
        <is>
          <t>日期</t>
        </is>
      </c>
      <c r="C2" s="6" t="inlineStr">
        <is>
          <t>客户ID</t>
        </is>
      </c>
      <c r="D2" s="6" t="inlineStr">
        <is>
          <t>公司名</t>
        </is>
      </c>
      <c r="E2" s="6" t="inlineStr">
        <is>
          <t>联系人</t>
        </is>
      </c>
      <c r="F2" s="6" t="inlineStr">
        <is>
          <t>渠道</t>
        </is>
      </c>
      <c r="G2" s="6" t="inlineStr">
        <is>
          <t>方向</t>
        </is>
      </c>
      <c r="H2" s="6" t="inlineStr">
        <is>
          <t>内容摘要（发出的内容/收到的回复）</t>
        </is>
      </c>
      <c r="I2" s="6" t="inlineStr">
        <is>
          <t>回应/结果</t>
        </is>
      </c>
      <c r="J2" s="6" t="inlineStr">
        <is>
          <t>阶段变更</t>
        </is>
      </c>
      <c r="K2" s="6" t="inlineStr">
        <is>
          <t>下一步行动</t>
        </is>
      </c>
      <c r="L2" s="6" t="inlineStr">
        <is>
          <t>下次跟进日期</t>
        </is>
      </c>
    </row>
    <row r="3">
      <c r="A3" s="14">
        <f>IF(C3="","",COUNTA($C$3:C3))</f>
        <v/>
      </c>
      <c r="B3" s="23" t="n">
        <v>46158</v>
      </c>
      <c r="C3" t="inlineStr">
        <is>
          <t>C002</t>
        </is>
      </c>
      <c r="D3" t="inlineStr">
        <is>
          <t>Alberta Custom Flag and Banner</t>
        </is>
      </c>
      <c r="E3" t="inlineStr">
        <is>
          <t>Warren Gross</t>
        </is>
      </c>
      <c r="F3" t="inlineStr">
        <is>
          <t>LinkedIn</t>
        </is>
      </c>
      <c r="G3" t="inlineStr">
        <is>
          <t>出</t>
        </is>
      </c>
      <c r="H3" t="inlineStr">
        <is>
          <t>发送连接邀请（274字符版）：Saw Alberta Custom focuses on consistent, governable branding across teams and locations. Liked the repeatable program angle. I help build custom metal gift options from China - brass, stainless and titanium pieces like pens or drinkware. Thought it may be worth connecting.</t>
        </is>
      </c>
      <c r="I3" t="inlineStr">
        <is>
          <t>待通过</t>
        </is>
      </c>
      <c r="J3" t="inlineStr">
        <is>
          <t>待接触 → 已发消息</t>
        </is>
      </c>
      <c r="K3" t="inlineStr">
        <is>
          <t>等待接受邀请</t>
        </is>
      </c>
      <c r="L3" s="23" t="n">
        <v>46162</v>
      </c>
    </row>
    <row r="4">
      <c r="A4" s="14">
        <f>IF(C4="","",COUNTA($C$3:C4))</f>
        <v/>
      </c>
      <c r="B4" s="23" t="n">
        <v>46162</v>
      </c>
      <c r="C4" t="inlineStr">
        <is>
          <t>C002</t>
        </is>
      </c>
      <c r="D4" t="inlineStr">
        <is>
          <t>Alberta Custom Flag and Banner</t>
        </is>
      </c>
      <c r="E4" t="inlineStr">
        <is>
          <t>Warren Gross</t>
        </is>
      </c>
      <c r="F4" t="inlineStr">
        <is>
          <t>LinkedIn</t>
        </is>
      </c>
      <c r="G4" t="inlineStr">
        <is>
          <t>入</t>
        </is>
      </c>
      <c r="H4" t="inlineStr">
        <is>
          <t>Warren接受邀请并主动回复："Hi John, Let's connect and chat!"</t>
        </is>
      </c>
      <c r="I4" t="inlineStr">
        <is>
          <t>正面回应，主动邀请聊</t>
        </is>
      </c>
      <c r="J4" t="inlineStr">
        <is>
          <t>已发消息 → 已建对话</t>
        </is>
      </c>
      <c r="K4" t="inlineStr">
        <is>
          <t>发首条qualifying私信：确认是否采购non-apparel corporate gift items</t>
        </is>
      </c>
      <c r="L4" s="23" t="n">
        <v>46164</v>
      </c>
    </row>
    <row r="5">
      <c r="A5" s="14">
        <f>IF(C5="","",COUNTA($C$3:C5))</f>
        <v/>
      </c>
      <c r="B5" s="23" t="n">
        <v>46164</v>
      </c>
      <c r="C5" t="inlineStr">
        <is>
          <t>C002</t>
        </is>
      </c>
      <c r="D5" t="inlineStr">
        <is>
          <t>Alberta Custom Flag and Banner</t>
        </is>
      </c>
      <c r="E5" t="inlineStr">
        <is>
          <t>Warren Gross</t>
        </is>
      </c>
      <c r="F5" t="inlineStr">
        <is>
          <t>LinkedIn</t>
        </is>
      </c>
      <c r="G5" t="inlineStr">
        <is>
          <t>出</t>
        </is>
      </c>
      <c r="H5" t="inlineStr">
        <is>
          <t>发首条私信："Thanks for connecting — good to have a chat. Noticed Marketing Time covers promo and gifts beyond just apparel and jerseys — that's the overlap I had in mind with the metal pieces. Do metal hard goods ever come up in your client programs? Happy to share a few directions if relevant."</t>
        </is>
      </c>
      <c r="I5" t="inlineStr">
        <is>
          <t>待回复</t>
        </is>
      </c>
      <c r="J5" t="inlineStr">
        <is>
          <t>已建对话（维持）</t>
        </is>
      </c>
      <c r="K5" t="inlineStr">
        <is>
          <t>等待回复；无回应则Day 7轻跟进或直接等30天</t>
        </is>
      </c>
      <c r="L5" s="23" t="n">
        <v>46171</v>
      </c>
    </row>
    <row r="6">
      <c r="A6" s="14">
        <f>IF(C6="","",COUNTA($C$3:C6))</f>
        <v/>
      </c>
      <c r="B6" s="24" t="n">
        <v>46172</v>
      </c>
      <c r="C6" t="inlineStr">
        <is>
          <t>C003</t>
        </is>
      </c>
      <c r="D6" t="inlineStr">
        <is>
          <t>Brandz Marketing Inc.</t>
        </is>
      </c>
      <c r="E6" t="inlineStr">
        <is>
          <t>Graeme Dawes</t>
        </is>
      </c>
      <c r="F6" t="inlineStr">
        <is>
          <t>LinkedIn</t>
        </is>
      </c>
      <c r="G6" t="inlineStr">
        <is>
          <t>出</t>
        </is>
      </c>
      <c r="H6" t="inlineStr">
        <is>
          <t>发送LinkedIn连接邀请：Hi Graeme, really respect the 30-year legacy you built in the Tri-Region! I noticed your collections are strong but missing high-end metal gift sets. We craft premium metal kits in China that could fill that gap. Connect?</t>
        </is>
      </c>
      <c r="I6" t="inlineStr">
        <is>
          <t>待通过</t>
        </is>
      </c>
      <c r="J6" t="inlineStr">
        <is>
          <t>待接触 → 已发消息</t>
        </is>
      </c>
    </row>
    <row r="7">
      <c r="A7" s="14">
        <f>IF(C7="","",COUNTA($C$3:C7))</f>
        <v/>
      </c>
    </row>
    <row r="8">
      <c r="A8" s="14">
        <f>IF(C8="","",COUNTA($C$3:C8))</f>
        <v/>
      </c>
    </row>
    <row r="9">
      <c r="A9" s="14">
        <f>IF(C9="","",COUNTA($C$3:C9))</f>
        <v/>
      </c>
    </row>
    <row r="10">
      <c r="A10" s="14">
        <f>IF(C10="","",COUNTA($C$3:C10))</f>
        <v/>
      </c>
    </row>
    <row r="11">
      <c r="A11" s="14">
        <f>IF(C11="","",COUNTA($C$3:C11))</f>
        <v/>
      </c>
    </row>
    <row r="12">
      <c r="A12" s="14">
        <f>IF(C12="","",COUNTA($C$3:C12))</f>
        <v/>
      </c>
    </row>
    <row r="13">
      <c r="A13" s="14">
        <f>IF(C13="","",COUNTA($C$3:C13))</f>
        <v/>
      </c>
    </row>
    <row r="14">
      <c r="A14" s="14">
        <f>IF(C14="","",COUNTA($C$3:C14))</f>
        <v/>
      </c>
    </row>
    <row r="15">
      <c r="A15" s="14">
        <f>IF(C15="","",COUNTA($C$3:C15))</f>
        <v/>
      </c>
    </row>
    <row r="16">
      <c r="A16" s="14">
        <f>IF(C16="","",COUNTA($C$3:C16))</f>
        <v/>
      </c>
    </row>
    <row r="17">
      <c r="A17" s="14">
        <f>IF(C17="","",COUNTA($C$3:C17))</f>
        <v/>
      </c>
    </row>
    <row r="18">
      <c r="A18" s="14">
        <f>IF(C18="","",COUNTA($C$3:C18))</f>
        <v/>
      </c>
    </row>
    <row r="19">
      <c r="A19" s="14">
        <f>IF(C19="","",COUNTA($C$3:C19))</f>
        <v/>
      </c>
    </row>
    <row r="20">
      <c r="A20" s="14">
        <f>IF(C20="","",COUNTA($C$3:C20))</f>
        <v/>
      </c>
    </row>
    <row r="21">
      <c r="A21" s="14">
        <f>IF(C21="","",COUNTA($C$3:C21))</f>
        <v/>
      </c>
    </row>
    <row r="22">
      <c r="A22" s="14">
        <f>IF(C22="","",COUNTA($C$3:C22))</f>
        <v/>
      </c>
    </row>
    <row r="23">
      <c r="A23" s="14">
        <f>IF(C23="","",COUNTA($C$3:C23))</f>
        <v/>
      </c>
    </row>
    <row r="24">
      <c r="A24" s="14">
        <f>IF(C24="","",COUNTA($C$3:C24))</f>
        <v/>
      </c>
    </row>
    <row r="25">
      <c r="A25" s="14">
        <f>IF(C25="","",COUNTA($C$3:C25))</f>
        <v/>
      </c>
    </row>
    <row r="26">
      <c r="A26" s="14">
        <f>IF(C26="","",COUNTA($C$3:C26))</f>
        <v/>
      </c>
    </row>
    <row r="27">
      <c r="A27" s="14">
        <f>IF(C27="","",COUNTA($C$3:C27))</f>
        <v/>
      </c>
    </row>
    <row r="28">
      <c r="A28" s="14">
        <f>IF(C28="","",COUNTA($C$3:C28))</f>
        <v/>
      </c>
    </row>
    <row r="29">
      <c r="A29" s="14">
        <f>IF(C29="","",COUNTA($C$3:C29))</f>
        <v/>
      </c>
    </row>
    <row r="30">
      <c r="A30" s="14">
        <f>IF(C30="","",COUNTA($C$3:C30))</f>
        <v/>
      </c>
    </row>
    <row r="31">
      <c r="A31" s="14">
        <f>IF(C31="","",COUNTA($C$3:C31))</f>
        <v/>
      </c>
    </row>
    <row r="32">
      <c r="A32" s="14">
        <f>IF(C32="","",COUNTA($C$3:C32))</f>
        <v/>
      </c>
    </row>
    <row r="33">
      <c r="A33" s="14">
        <f>IF(C33="","",COUNTA($C$3:C33))</f>
        <v/>
      </c>
    </row>
    <row r="34">
      <c r="A34" s="14">
        <f>IF(C34="","",COUNTA($C$3:C34))</f>
        <v/>
      </c>
    </row>
    <row r="35">
      <c r="A35" s="14">
        <f>IF(C35="","",COUNTA($C$3:C35))</f>
        <v/>
      </c>
    </row>
    <row r="36">
      <c r="A36" s="14">
        <f>IF(C36="","",COUNTA($C$3:C36))</f>
        <v/>
      </c>
    </row>
    <row r="37">
      <c r="A37" s="14">
        <f>IF(C37="","",COUNTA($C$3:C37))</f>
        <v/>
      </c>
    </row>
    <row r="38">
      <c r="A38" s="14">
        <f>IF(C38="","",COUNTA($C$3:C38))</f>
        <v/>
      </c>
    </row>
    <row r="39">
      <c r="A39" s="14">
        <f>IF(C39="","",COUNTA($C$3:C39))</f>
        <v/>
      </c>
    </row>
    <row r="40">
      <c r="A40" s="14">
        <f>IF(C40="","",COUNTA($C$3:C40))</f>
        <v/>
      </c>
    </row>
    <row r="41">
      <c r="A41" s="14">
        <f>IF(C41="","",COUNTA($C$3:C41))</f>
        <v/>
      </c>
    </row>
    <row r="42">
      <c r="A42" s="14">
        <f>IF(C42="","",COUNTA($C$3:C42))</f>
        <v/>
      </c>
    </row>
    <row r="43">
      <c r="A43" s="14">
        <f>IF(C43="","",COUNTA($C$3:C43))</f>
        <v/>
      </c>
    </row>
    <row r="44">
      <c r="A44" s="14">
        <f>IF(C44="","",COUNTA($C$3:C44))</f>
        <v/>
      </c>
    </row>
    <row r="45">
      <c r="A45" s="14">
        <f>IF(C45="","",COUNTA($C$3:C45))</f>
        <v/>
      </c>
    </row>
    <row r="46">
      <c r="A46" s="14">
        <f>IF(C46="","",COUNTA($C$3:C46))</f>
        <v/>
      </c>
    </row>
    <row r="47">
      <c r="A47" s="14">
        <f>IF(C47="","",COUNTA($C$3:C47))</f>
        <v/>
      </c>
    </row>
    <row r="48">
      <c r="A48" s="14">
        <f>IF(C48="","",COUNTA($C$3:C48))</f>
        <v/>
      </c>
    </row>
    <row r="49">
      <c r="A49" s="14">
        <f>IF(C49="","",COUNTA($C$3:C49))</f>
        <v/>
      </c>
    </row>
    <row r="50">
      <c r="A50" s="14">
        <f>IF(C50="","",COUNTA($C$3:C50))</f>
        <v/>
      </c>
    </row>
    <row r="51">
      <c r="A51" s="14">
        <f>IF(C51="","",COUNTA($C$3:C51))</f>
        <v/>
      </c>
    </row>
    <row r="52">
      <c r="A52" s="14">
        <f>IF(C52="","",COUNTA($C$3:C52))</f>
        <v/>
      </c>
    </row>
    <row r="53">
      <c r="A53" s="14">
        <f>IF(C53="","",COUNTA($C$3:C53))</f>
        <v/>
      </c>
    </row>
    <row r="54">
      <c r="A54" s="14">
        <f>IF(C54="","",COUNTA($C$3:C54))</f>
        <v/>
      </c>
    </row>
    <row r="55">
      <c r="A55" s="14">
        <f>IF(C55="","",COUNTA($C$3:C55))</f>
        <v/>
      </c>
    </row>
    <row r="56">
      <c r="A56" s="14">
        <f>IF(C56="","",COUNTA($C$3:C56))</f>
        <v/>
      </c>
    </row>
    <row r="57">
      <c r="A57" s="14">
        <f>IF(C57="","",COUNTA($C$3:C57))</f>
        <v/>
      </c>
    </row>
    <row r="58">
      <c r="A58" s="14">
        <f>IF(C58="","",COUNTA($C$3:C58))</f>
        <v/>
      </c>
    </row>
    <row r="59">
      <c r="A59" s="14">
        <f>IF(C59="","",COUNTA($C$3:C59))</f>
        <v/>
      </c>
    </row>
    <row r="60">
      <c r="A60" s="14">
        <f>IF(C60="","",COUNTA($C$3:C60))</f>
        <v/>
      </c>
    </row>
    <row r="61">
      <c r="A61" s="14">
        <f>IF(C61="","",COUNTA($C$3:C61))</f>
        <v/>
      </c>
    </row>
    <row r="62">
      <c r="A62" s="14">
        <f>IF(C62="","",COUNTA($C$3:C62))</f>
        <v/>
      </c>
    </row>
    <row r="63">
      <c r="A63" s="14">
        <f>IF(C63="","",COUNTA($C$3:C63))</f>
        <v/>
      </c>
    </row>
    <row r="64">
      <c r="A64" s="14">
        <f>IF(C64="","",COUNTA($C$3:C64))</f>
        <v/>
      </c>
    </row>
    <row r="65">
      <c r="A65" s="14">
        <f>IF(C65="","",COUNTA($C$3:C65))</f>
        <v/>
      </c>
    </row>
    <row r="66">
      <c r="A66" s="14">
        <f>IF(C66="","",COUNTA($C$3:C66))</f>
        <v/>
      </c>
    </row>
    <row r="67">
      <c r="A67" s="14">
        <f>IF(C67="","",COUNTA($C$3:C67))</f>
        <v/>
      </c>
    </row>
    <row r="68">
      <c r="A68" s="14">
        <f>IF(C68="","",COUNTA($C$3:C68))</f>
        <v/>
      </c>
    </row>
    <row r="69">
      <c r="A69" s="14">
        <f>IF(C69="","",COUNTA($C$3:C69))</f>
        <v/>
      </c>
    </row>
    <row r="70">
      <c r="A70" s="14">
        <f>IF(C70="","",COUNTA($C$3:C70))</f>
        <v/>
      </c>
    </row>
    <row r="71">
      <c r="A71" s="14">
        <f>IF(C71="","",COUNTA($C$3:C71))</f>
        <v/>
      </c>
    </row>
    <row r="72">
      <c r="A72" s="14">
        <f>IF(C72="","",COUNTA($C$3:C72))</f>
        <v/>
      </c>
    </row>
    <row r="73">
      <c r="A73" s="14">
        <f>IF(C73="","",COUNTA($C$3:C73))</f>
        <v/>
      </c>
    </row>
    <row r="74">
      <c r="A74" s="14">
        <f>IF(C74="","",COUNTA($C$3:C74))</f>
        <v/>
      </c>
    </row>
    <row r="75">
      <c r="A75" s="14">
        <f>IF(C75="","",COUNTA($C$3:C75))</f>
        <v/>
      </c>
    </row>
    <row r="76">
      <c r="A76" s="14">
        <f>IF(C76="","",COUNTA($C$3:C76))</f>
        <v/>
      </c>
    </row>
    <row r="77">
      <c r="A77" s="14">
        <f>IF(C77="","",COUNTA($C$3:C77))</f>
        <v/>
      </c>
    </row>
    <row r="78">
      <c r="A78" s="14">
        <f>IF(C78="","",COUNTA($C$3:C78))</f>
        <v/>
      </c>
    </row>
    <row r="79">
      <c r="A79" s="14">
        <f>IF(C79="","",COUNTA($C$3:C79))</f>
        <v/>
      </c>
    </row>
    <row r="80">
      <c r="A80" s="14">
        <f>IF(C80="","",COUNTA($C$3:C80))</f>
        <v/>
      </c>
    </row>
    <row r="81">
      <c r="A81" s="14">
        <f>IF(C81="","",COUNTA($C$3:C81))</f>
        <v/>
      </c>
    </row>
    <row r="82">
      <c r="A82" s="14">
        <f>IF(C82="","",COUNTA($C$3:C82))</f>
        <v/>
      </c>
    </row>
    <row r="83">
      <c r="A83" s="14">
        <f>IF(C83="","",COUNTA($C$3:C83))</f>
        <v/>
      </c>
    </row>
    <row r="84">
      <c r="A84" s="14">
        <f>IF(C84="","",COUNTA($C$3:C84))</f>
        <v/>
      </c>
    </row>
    <row r="85">
      <c r="A85" s="14">
        <f>IF(C85="","",COUNTA($C$3:C85))</f>
        <v/>
      </c>
    </row>
    <row r="86">
      <c r="A86" s="14">
        <f>IF(C86="","",COUNTA($C$3:C86))</f>
        <v/>
      </c>
    </row>
    <row r="87">
      <c r="A87" s="14">
        <f>IF(C87="","",COUNTA($C$3:C87))</f>
        <v/>
      </c>
    </row>
    <row r="88">
      <c r="A88" s="14">
        <f>IF(C88="","",COUNTA($C$3:C88))</f>
        <v/>
      </c>
    </row>
    <row r="89">
      <c r="A89" s="14">
        <f>IF(C89="","",COUNTA($C$3:C89))</f>
        <v/>
      </c>
    </row>
    <row r="90">
      <c r="A90" s="14">
        <f>IF(C90="","",COUNTA($C$3:C90))</f>
        <v/>
      </c>
    </row>
    <row r="91">
      <c r="A91" s="14">
        <f>IF(C91="","",COUNTA($C$3:C91))</f>
        <v/>
      </c>
    </row>
    <row r="92">
      <c r="A92" s="14">
        <f>IF(C92="","",COUNTA($C$3:C92))</f>
        <v/>
      </c>
    </row>
    <row r="93">
      <c r="A93" s="14">
        <f>IF(C93="","",COUNTA($C$3:C93))</f>
        <v/>
      </c>
    </row>
    <row r="94">
      <c r="A94" s="14">
        <f>IF(C94="","",COUNTA($C$3:C94))</f>
        <v/>
      </c>
    </row>
    <row r="95">
      <c r="A95" s="14">
        <f>IF(C95="","",COUNTA($C$3:C95))</f>
        <v/>
      </c>
    </row>
    <row r="96">
      <c r="A96" s="14">
        <f>IF(C96="","",COUNTA($C$3:C96))</f>
        <v/>
      </c>
    </row>
    <row r="97">
      <c r="A97" s="14">
        <f>IF(C97="","",COUNTA($C$3:C97))</f>
        <v/>
      </c>
    </row>
    <row r="98">
      <c r="A98" s="14">
        <f>IF(C98="","",COUNTA($C$3:C98))</f>
        <v/>
      </c>
    </row>
    <row r="99">
      <c r="A99" s="14">
        <f>IF(C99="","",COUNTA($C$3:C99))</f>
        <v/>
      </c>
    </row>
    <row r="100">
      <c r="A100" s="14">
        <f>IF(C100="","",COUNTA($C$3:C100))</f>
        <v/>
      </c>
    </row>
    <row r="101">
      <c r="A101" s="14">
        <f>IF(C101="","",COUNTA($C$3:C101))</f>
        <v/>
      </c>
    </row>
    <row r="102">
      <c r="A102" s="14">
        <f>IF(C102="","",COUNTA($C$3:C102))</f>
        <v/>
      </c>
    </row>
    <row r="103">
      <c r="A103" s="14">
        <f>IF(C103="","",COUNTA($C$3:C103))</f>
        <v/>
      </c>
    </row>
    <row r="104">
      <c r="A104" s="14">
        <f>IF(C104="","",COUNTA($C$3:C104))</f>
        <v/>
      </c>
    </row>
    <row r="105">
      <c r="A105" s="14">
        <f>IF(C105="","",COUNTA($C$3:C105))</f>
        <v/>
      </c>
    </row>
    <row r="106">
      <c r="A106" s="14">
        <f>IF(C106="","",COUNTA($C$3:C106))</f>
        <v/>
      </c>
    </row>
    <row r="107">
      <c r="A107" s="14">
        <f>IF(C107="","",COUNTA($C$3:C107))</f>
        <v/>
      </c>
    </row>
    <row r="108">
      <c r="A108" s="14">
        <f>IF(C108="","",COUNTA($C$3:C108))</f>
        <v/>
      </c>
    </row>
    <row r="109">
      <c r="A109" s="14">
        <f>IF(C109="","",COUNTA($C$3:C109))</f>
        <v/>
      </c>
    </row>
    <row r="110">
      <c r="A110" s="14">
        <f>IF(C110="","",COUNTA($C$3:C110))</f>
        <v/>
      </c>
    </row>
    <row r="111">
      <c r="A111" s="14">
        <f>IF(C111="","",COUNTA($C$3:C111))</f>
        <v/>
      </c>
    </row>
    <row r="112">
      <c r="A112" s="14">
        <f>IF(C112="","",COUNTA($C$3:C112))</f>
        <v/>
      </c>
    </row>
    <row r="113">
      <c r="A113" s="14">
        <f>IF(C113="","",COUNTA($C$3:C113))</f>
        <v/>
      </c>
    </row>
    <row r="114">
      <c r="A114" s="14">
        <f>IF(C114="","",COUNTA($C$3:C114))</f>
        <v/>
      </c>
    </row>
    <row r="115">
      <c r="A115" s="14">
        <f>IF(C115="","",COUNTA($C$3:C115))</f>
        <v/>
      </c>
    </row>
    <row r="116">
      <c r="A116" s="14">
        <f>IF(C116="","",COUNTA($C$3:C116))</f>
        <v/>
      </c>
    </row>
    <row r="117">
      <c r="A117" s="14">
        <f>IF(C117="","",COUNTA($C$3:C117))</f>
        <v/>
      </c>
    </row>
    <row r="118">
      <c r="A118" s="14">
        <f>IF(C118="","",COUNTA($C$3:C118))</f>
        <v/>
      </c>
    </row>
    <row r="119">
      <c r="A119" s="14">
        <f>IF(C119="","",COUNTA($C$3:C119))</f>
        <v/>
      </c>
    </row>
    <row r="120">
      <c r="A120" s="14">
        <f>IF(C120="","",COUNTA($C$3:C120))</f>
        <v/>
      </c>
    </row>
    <row r="121">
      <c r="A121" s="14">
        <f>IF(C121="","",COUNTA($C$3:C121))</f>
        <v/>
      </c>
    </row>
    <row r="122">
      <c r="A122" s="14">
        <f>IF(C122="","",COUNTA($C$3:C122))</f>
        <v/>
      </c>
    </row>
    <row r="123">
      <c r="A123" s="14">
        <f>IF(C123="","",COUNTA($C$3:C123))</f>
        <v/>
      </c>
    </row>
    <row r="124">
      <c r="A124" s="14">
        <f>IF(C124="","",COUNTA($C$3:C124))</f>
        <v/>
      </c>
    </row>
    <row r="125">
      <c r="A125" s="14">
        <f>IF(C125="","",COUNTA($C$3:C125))</f>
        <v/>
      </c>
    </row>
    <row r="126">
      <c r="A126" s="14">
        <f>IF(C126="","",COUNTA($C$3:C126))</f>
        <v/>
      </c>
    </row>
    <row r="127">
      <c r="A127" s="14">
        <f>IF(C127="","",COUNTA($C$3:C127))</f>
        <v/>
      </c>
    </row>
    <row r="128">
      <c r="A128" s="14">
        <f>IF(C128="","",COUNTA($C$3:C128))</f>
        <v/>
      </c>
    </row>
    <row r="129">
      <c r="A129" s="14">
        <f>IF(C129="","",COUNTA($C$3:C129))</f>
        <v/>
      </c>
    </row>
    <row r="130">
      <c r="A130" s="14">
        <f>IF(C130="","",COUNTA($C$3:C130))</f>
        <v/>
      </c>
    </row>
    <row r="131">
      <c r="A131" s="14">
        <f>IF(C131="","",COUNTA($C$3:C131))</f>
        <v/>
      </c>
    </row>
    <row r="132">
      <c r="A132" s="14">
        <f>IF(C132="","",COUNTA($C$3:C132))</f>
        <v/>
      </c>
    </row>
    <row r="133">
      <c r="A133" s="14">
        <f>IF(C133="","",COUNTA($C$3:C133))</f>
        <v/>
      </c>
    </row>
    <row r="134">
      <c r="A134" s="14">
        <f>IF(C134="","",COUNTA($C$3:C134))</f>
        <v/>
      </c>
    </row>
    <row r="135">
      <c r="A135" s="14">
        <f>IF(C135="","",COUNTA($C$3:C135))</f>
        <v/>
      </c>
    </row>
    <row r="136">
      <c r="A136" s="14">
        <f>IF(C136="","",COUNTA($C$3:C136))</f>
        <v/>
      </c>
    </row>
    <row r="137">
      <c r="A137" s="14">
        <f>IF(C137="","",COUNTA($C$3:C137))</f>
        <v/>
      </c>
    </row>
    <row r="138">
      <c r="A138" s="14">
        <f>IF(C138="","",COUNTA($C$3:C138))</f>
        <v/>
      </c>
    </row>
    <row r="139">
      <c r="A139" s="14">
        <f>IF(C139="","",COUNTA($C$3:C139))</f>
        <v/>
      </c>
    </row>
    <row r="140">
      <c r="A140" s="14">
        <f>IF(C140="","",COUNTA($C$3:C140))</f>
        <v/>
      </c>
    </row>
    <row r="141">
      <c r="A141" s="14">
        <f>IF(C141="","",COUNTA($C$3:C141))</f>
        <v/>
      </c>
    </row>
    <row r="142">
      <c r="A142" s="14">
        <f>IF(C142="","",COUNTA($C$3:C142))</f>
        <v/>
      </c>
    </row>
    <row r="143">
      <c r="A143" s="14">
        <f>IF(C143="","",COUNTA($C$3:C143))</f>
        <v/>
      </c>
    </row>
    <row r="144">
      <c r="A144" s="14">
        <f>IF(C144="","",COUNTA($C$3:C144))</f>
        <v/>
      </c>
    </row>
    <row r="145">
      <c r="A145" s="14">
        <f>IF(C145="","",COUNTA($C$3:C145))</f>
        <v/>
      </c>
    </row>
    <row r="146">
      <c r="A146" s="14">
        <f>IF(C146="","",COUNTA($C$3:C146))</f>
        <v/>
      </c>
    </row>
    <row r="147">
      <c r="A147" s="14">
        <f>IF(C147="","",COUNTA($C$3:C147))</f>
        <v/>
      </c>
    </row>
    <row r="148">
      <c r="A148" s="14">
        <f>IF(C148="","",COUNTA($C$3:C148))</f>
        <v/>
      </c>
    </row>
    <row r="149">
      <c r="A149" s="14">
        <f>IF(C149="","",COUNTA($C$3:C149))</f>
        <v/>
      </c>
    </row>
    <row r="150">
      <c r="A150" s="14">
        <f>IF(C150="","",COUNTA($C$3:C150))</f>
        <v/>
      </c>
    </row>
    <row r="151">
      <c r="A151" s="14">
        <f>IF(C151="","",COUNTA($C$3:C151))</f>
        <v/>
      </c>
    </row>
    <row r="152">
      <c r="A152" s="14">
        <f>IF(C152="","",COUNTA($C$3:C152))</f>
        <v/>
      </c>
    </row>
    <row r="153">
      <c r="A153" s="14">
        <f>IF(C153="","",COUNTA($C$3:C153))</f>
        <v/>
      </c>
    </row>
    <row r="154">
      <c r="A154" s="14">
        <f>IF(C154="","",COUNTA($C$3:C154))</f>
        <v/>
      </c>
    </row>
    <row r="155">
      <c r="A155" s="14">
        <f>IF(C155="","",COUNTA($C$3:C155))</f>
        <v/>
      </c>
    </row>
    <row r="156">
      <c r="A156" s="14">
        <f>IF(C156="","",COUNTA($C$3:C156))</f>
        <v/>
      </c>
    </row>
    <row r="157">
      <c r="A157" s="14">
        <f>IF(C157="","",COUNTA($C$3:C157))</f>
        <v/>
      </c>
    </row>
    <row r="158">
      <c r="A158" s="14">
        <f>IF(C158="","",COUNTA($C$3:C158))</f>
        <v/>
      </c>
    </row>
    <row r="159">
      <c r="A159" s="14">
        <f>IF(C159="","",COUNTA($C$3:C159))</f>
        <v/>
      </c>
    </row>
    <row r="160">
      <c r="A160" s="14">
        <f>IF(C160="","",COUNTA($C$3:C160))</f>
        <v/>
      </c>
    </row>
    <row r="161">
      <c r="A161" s="14">
        <f>IF(C161="","",COUNTA($C$3:C161))</f>
        <v/>
      </c>
    </row>
    <row r="162">
      <c r="A162" s="14">
        <f>IF(C162="","",COUNTA($C$3:C162))</f>
        <v/>
      </c>
    </row>
    <row r="163">
      <c r="A163" s="14">
        <f>IF(C163="","",COUNTA($C$3:C163))</f>
        <v/>
      </c>
    </row>
    <row r="164">
      <c r="A164" s="14">
        <f>IF(C164="","",COUNTA($C$3:C164))</f>
        <v/>
      </c>
    </row>
    <row r="165">
      <c r="A165" s="14">
        <f>IF(C165="","",COUNTA($C$3:C165))</f>
        <v/>
      </c>
    </row>
    <row r="166">
      <c r="A166" s="14">
        <f>IF(C166="","",COUNTA($C$3:C166))</f>
        <v/>
      </c>
    </row>
    <row r="167">
      <c r="A167" s="14">
        <f>IF(C167="","",COUNTA($C$3:C167))</f>
        <v/>
      </c>
    </row>
    <row r="168">
      <c r="A168" s="14">
        <f>IF(C168="","",COUNTA($C$3:C168))</f>
        <v/>
      </c>
    </row>
    <row r="169">
      <c r="A169" s="14">
        <f>IF(C169="","",COUNTA($C$3:C169))</f>
        <v/>
      </c>
    </row>
    <row r="170">
      <c r="A170" s="14">
        <f>IF(C170="","",COUNTA($C$3:C170))</f>
        <v/>
      </c>
    </row>
    <row r="171">
      <c r="A171" s="14">
        <f>IF(C171="","",COUNTA($C$3:C171))</f>
        <v/>
      </c>
    </row>
    <row r="172">
      <c r="A172" s="14">
        <f>IF(C172="","",COUNTA($C$3:C172))</f>
        <v/>
      </c>
    </row>
    <row r="173">
      <c r="A173" s="14">
        <f>IF(C173="","",COUNTA($C$3:C173))</f>
        <v/>
      </c>
    </row>
    <row r="174">
      <c r="A174" s="14">
        <f>IF(C174="","",COUNTA($C$3:C174))</f>
        <v/>
      </c>
    </row>
    <row r="175">
      <c r="A175" s="14">
        <f>IF(C175="","",COUNTA($C$3:C175))</f>
        <v/>
      </c>
    </row>
    <row r="176">
      <c r="A176" s="14">
        <f>IF(C176="","",COUNTA($C$3:C176))</f>
        <v/>
      </c>
    </row>
    <row r="177">
      <c r="A177" s="14">
        <f>IF(C177="","",COUNTA($C$3:C177))</f>
        <v/>
      </c>
    </row>
    <row r="178">
      <c r="A178" s="14">
        <f>IF(C178="","",COUNTA($C$3:C178))</f>
        <v/>
      </c>
    </row>
    <row r="179">
      <c r="A179" s="14">
        <f>IF(C179="","",COUNTA($C$3:C179))</f>
        <v/>
      </c>
    </row>
    <row r="180">
      <c r="A180" s="14">
        <f>IF(C180="","",COUNTA($C$3:C180))</f>
        <v/>
      </c>
    </row>
    <row r="181">
      <c r="A181" s="14">
        <f>IF(C181="","",COUNTA($C$3:C181))</f>
        <v/>
      </c>
    </row>
    <row r="182">
      <c r="A182" s="14">
        <f>IF(C182="","",COUNTA($C$3:C182))</f>
        <v/>
      </c>
    </row>
    <row r="183">
      <c r="A183" s="14">
        <f>IF(C183="","",COUNTA($C$3:C183))</f>
        <v/>
      </c>
    </row>
    <row r="184">
      <c r="A184" s="14">
        <f>IF(C184="","",COUNTA($C$3:C184))</f>
        <v/>
      </c>
    </row>
    <row r="185">
      <c r="A185" s="14">
        <f>IF(C185="","",COUNTA($C$3:C185))</f>
        <v/>
      </c>
    </row>
    <row r="186">
      <c r="A186" s="14">
        <f>IF(C186="","",COUNTA($C$3:C186))</f>
        <v/>
      </c>
    </row>
    <row r="187">
      <c r="A187" s="14">
        <f>IF(C187="","",COUNTA($C$3:C187))</f>
        <v/>
      </c>
    </row>
    <row r="188">
      <c r="A188" s="14">
        <f>IF(C188="","",COUNTA($C$3:C188))</f>
        <v/>
      </c>
    </row>
    <row r="189">
      <c r="A189" s="14">
        <f>IF(C189="","",COUNTA($C$3:C189))</f>
        <v/>
      </c>
    </row>
    <row r="190">
      <c r="A190" s="14">
        <f>IF(C190="","",COUNTA($C$3:C190))</f>
        <v/>
      </c>
    </row>
    <row r="191">
      <c r="A191" s="14">
        <f>IF(C191="","",COUNTA($C$3:C191))</f>
        <v/>
      </c>
    </row>
    <row r="192">
      <c r="A192" s="14">
        <f>IF(C192="","",COUNTA($C$3:C192))</f>
        <v/>
      </c>
    </row>
    <row r="193">
      <c r="A193" s="14">
        <f>IF(C193="","",COUNTA($C$3:C193))</f>
        <v/>
      </c>
    </row>
    <row r="194">
      <c r="A194" s="14">
        <f>IF(C194="","",COUNTA($C$3:C194))</f>
        <v/>
      </c>
    </row>
    <row r="195">
      <c r="A195" s="14">
        <f>IF(C195="","",COUNTA($C$3:C195))</f>
        <v/>
      </c>
    </row>
    <row r="196">
      <c r="A196" s="14">
        <f>IF(C196="","",COUNTA($C$3:C196))</f>
        <v/>
      </c>
    </row>
    <row r="197">
      <c r="A197" s="14">
        <f>IF(C197="","",COUNTA($C$3:C197))</f>
        <v/>
      </c>
    </row>
    <row r="198">
      <c r="A198" s="14">
        <f>IF(C198="","",COUNTA($C$3:C198))</f>
        <v/>
      </c>
    </row>
    <row r="199">
      <c r="A199" s="14">
        <f>IF(C199="","",COUNTA($C$3:C199))</f>
        <v/>
      </c>
    </row>
    <row r="200">
      <c r="A200" s="14">
        <f>IF(C200="","",COUNTA($C$3:C200))</f>
        <v/>
      </c>
    </row>
    <row r="201">
      <c r="A201" s="14">
        <f>IF(C201="","",COUNTA($C$3:C201))</f>
        <v/>
      </c>
    </row>
    <row r="202">
      <c r="A202" s="14">
        <f>IF(C202="","",COUNTA($C$3:C202))</f>
        <v/>
      </c>
    </row>
    <row r="203">
      <c r="A203" s="14">
        <f>IF(C203="","",COUNTA($C$3:C203))</f>
        <v/>
      </c>
    </row>
    <row r="204">
      <c r="A204" s="14">
        <f>IF(C204="","",COUNTA($C$3:C204))</f>
        <v/>
      </c>
    </row>
    <row r="205">
      <c r="A205" s="14">
        <f>IF(C205="","",COUNTA($C$3:C205))</f>
        <v/>
      </c>
    </row>
    <row r="206">
      <c r="A206" s="14">
        <f>IF(C206="","",COUNTA($C$3:C206))</f>
        <v/>
      </c>
    </row>
    <row r="207">
      <c r="A207" s="14">
        <f>IF(C207="","",COUNTA($C$3:C207))</f>
        <v/>
      </c>
    </row>
    <row r="208">
      <c r="A208" s="14">
        <f>IF(C208="","",COUNTA($C$3:C208))</f>
        <v/>
      </c>
    </row>
    <row r="209">
      <c r="A209" s="14">
        <f>IF(C209="","",COUNTA($C$3:C209))</f>
        <v/>
      </c>
    </row>
    <row r="210">
      <c r="A210" s="14">
        <f>IF(C210="","",COUNTA($C$3:C210))</f>
        <v/>
      </c>
    </row>
    <row r="211">
      <c r="A211" s="14">
        <f>IF(C211="","",COUNTA($C$3:C211))</f>
        <v/>
      </c>
    </row>
    <row r="212">
      <c r="A212" s="14">
        <f>IF(C212="","",COUNTA($C$3:C212))</f>
        <v/>
      </c>
    </row>
    <row r="213">
      <c r="A213" s="14">
        <f>IF(C213="","",COUNTA($C$3:C213))</f>
        <v/>
      </c>
    </row>
    <row r="214">
      <c r="A214" s="14">
        <f>IF(C214="","",COUNTA($C$3:C214))</f>
        <v/>
      </c>
    </row>
    <row r="215">
      <c r="A215" s="14">
        <f>IF(C215="","",COUNTA($C$3:C215))</f>
        <v/>
      </c>
    </row>
    <row r="216">
      <c r="A216" s="14">
        <f>IF(C216="","",COUNTA($C$3:C216))</f>
        <v/>
      </c>
    </row>
    <row r="217">
      <c r="A217" s="14">
        <f>IF(C217="","",COUNTA($C$3:C217))</f>
        <v/>
      </c>
    </row>
    <row r="218">
      <c r="A218" s="14">
        <f>IF(C218="","",COUNTA($C$3:C218))</f>
        <v/>
      </c>
    </row>
    <row r="219">
      <c r="A219" s="14">
        <f>IF(C219="","",COUNTA($C$3:C219))</f>
        <v/>
      </c>
    </row>
    <row r="220">
      <c r="A220" s="14">
        <f>IF(C220="","",COUNTA($C$3:C220))</f>
        <v/>
      </c>
    </row>
    <row r="221">
      <c r="A221" s="14">
        <f>IF(C221="","",COUNTA($C$3:C221))</f>
        <v/>
      </c>
    </row>
    <row r="222">
      <c r="A222" s="14">
        <f>IF(C222="","",COUNTA($C$3:C222))</f>
        <v/>
      </c>
    </row>
    <row r="223">
      <c r="A223" s="14">
        <f>IF(C223="","",COUNTA($C$3:C223))</f>
        <v/>
      </c>
    </row>
    <row r="224">
      <c r="A224" s="14">
        <f>IF(C224="","",COUNTA($C$3:C224))</f>
        <v/>
      </c>
    </row>
    <row r="225">
      <c r="A225" s="14">
        <f>IF(C225="","",COUNTA($C$3:C225))</f>
        <v/>
      </c>
    </row>
    <row r="226">
      <c r="A226" s="14">
        <f>IF(C226="","",COUNTA($C$3:C226))</f>
        <v/>
      </c>
    </row>
    <row r="227">
      <c r="A227" s="14">
        <f>IF(C227="","",COUNTA($C$3:C227))</f>
        <v/>
      </c>
    </row>
    <row r="228">
      <c r="A228" s="14">
        <f>IF(C228="","",COUNTA($C$3:C228))</f>
        <v/>
      </c>
    </row>
    <row r="229">
      <c r="A229" s="14">
        <f>IF(C229="","",COUNTA($C$3:C229))</f>
        <v/>
      </c>
    </row>
    <row r="230">
      <c r="A230" s="14">
        <f>IF(C230="","",COUNTA($C$3:C230))</f>
        <v/>
      </c>
    </row>
    <row r="231">
      <c r="A231" s="14">
        <f>IF(C231="","",COUNTA($C$3:C231))</f>
        <v/>
      </c>
    </row>
    <row r="232">
      <c r="A232" s="14">
        <f>IF(C232="","",COUNTA($C$3:C232))</f>
        <v/>
      </c>
    </row>
    <row r="233">
      <c r="A233" s="14">
        <f>IF(C233="","",COUNTA($C$3:C233))</f>
        <v/>
      </c>
    </row>
    <row r="234">
      <c r="A234" s="14">
        <f>IF(C234="","",COUNTA($C$3:C234))</f>
        <v/>
      </c>
    </row>
    <row r="235">
      <c r="A235" s="14">
        <f>IF(C235="","",COUNTA($C$3:C235))</f>
        <v/>
      </c>
    </row>
    <row r="236">
      <c r="A236" s="14">
        <f>IF(C236="","",COUNTA($C$3:C236))</f>
        <v/>
      </c>
    </row>
    <row r="237">
      <c r="A237" s="14">
        <f>IF(C237="","",COUNTA($C$3:C237))</f>
        <v/>
      </c>
    </row>
    <row r="238">
      <c r="A238" s="14">
        <f>IF(C238="","",COUNTA($C$3:C238))</f>
        <v/>
      </c>
    </row>
    <row r="239">
      <c r="A239" s="14">
        <f>IF(C239="","",COUNTA($C$3:C239))</f>
        <v/>
      </c>
    </row>
    <row r="240">
      <c r="A240" s="14">
        <f>IF(C240="","",COUNTA($C$3:C240))</f>
        <v/>
      </c>
    </row>
    <row r="241">
      <c r="A241" s="14">
        <f>IF(C241="","",COUNTA($C$3:C241))</f>
        <v/>
      </c>
    </row>
    <row r="242">
      <c r="A242" s="14">
        <f>IF(C242="","",COUNTA($C$3:C242))</f>
        <v/>
      </c>
    </row>
    <row r="243">
      <c r="A243" s="14">
        <f>IF(C243="","",COUNTA($C$3:C243))</f>
        <v/>
      </c>
    </row>
    <row r="244">
      <c r="A244" s="14">
        <f>IF(C244="","",COUNTA($C$3:C244))</f>
        <v/>
      </c>
    </row>
    <row r="245">
      <c r="A245" s="14">
        <f>IF(C245="","",COUNTA($C$3:C245))</f>
        <v/>
      </c>
    </row>
    <row r="246">
      <c r="A246" s="14">
        <f>IF(C246="","",COUNTA($C$3:C246))</f>
        <v/>
      </c>
    </row>
    <row r="247">
      <c r="A247" s="14">
        <f>IF(C247="","",COUNTA($C$3:C247))</f>
        <v/>
      </c>
    </row>
    <row r="248">
      <c r="A248" s="14">
        <f>IF(C248="","",COUNTA($C$3:C248))</f>
        <v/>
      </c>
    </row>
    <row r="249">
      <c r="A249" s="14">
        <f>IF(C249="","",COUNTA($C$3:C249))</f>
        <v/>
      </c>
    </row>
    <row r="250">
      <c r="A250" s="14">
        <f>IF(C250="","",COUNTA($C$3:C250))</f>
        <v/>
      </c>
    </row>
    <row r="251">
      <c r="A251" s="14">
        <f>IF(C251="","",COUNTA($C$3:C251))</f>
        <v/>
      </c>
    </row>
    <row r="252">
      <c r="A252" s="14">
        <f>IF(C252="","",COUNTA($C$3:C252))</f>
        <v/>
      </c>
    </row>
    <row r="253">
      <c r="A253" s="14">
        <f>IF(C253="","",COUNTA($C$3:C253))</f>
        <v/>
      </c>
    </row>
    <row r="254">
      <c r="A254" s="14">
        <f>IF(C254="","",COUNTA($C$3:C254))</f>
        <v/>
      </c>
    </row>
    <row r="255">
      <c r="A255" s="14">
        <f>IF(C255="","",COUNTA($C$3:C255))</f>
        <v/>
      </c>
    </row>
    <row r="256">
      <c r="A256" s="14">
        <f>IF(C256="","",COUNTA($C$3:C256))</f>
        <v/>
      </c>
    </row>
    <row r="257">
      <c r="A257" s="14">
        <f>IF(C257="","",COUNTA($C$3:C257))</f>
        <v/>
      </c>
    </row>
    <row r="258">
      <c r="A258" s="14">
        <f>IF(C258="","",COUNTA($C$3:C258))</f>
        <v/>
      </c>
    </row>
    <row r="259">
      <c r="A259" s="14">
        <f>IF(C259="","",COUNTA($C$3:C259))</f>
        <v/>
      </c>
    </row>
    <row r="260">
      <c r="A260" s="14">
        <f>IF(C260="","",COUNTA($C$3:C260))</f>
        <v/>
      </c>
    </row>
    <row r="261">
      <c r="A261" s="14">
        <f>IF(C261="","",COUNTA($C$3:C261))</f>
        <v/>
      </c>
    </row>
    <row r="262">
      <c r="A262" s="14">
        <f>IF(C262="","",COUNTA($C$3:C262))</f>
        <v/>
      </c>
    </row>
    <row r="263">
      <c r="A263" s="14">
        <f>IF(C263="","",COUNTA($C$3:C263))</f>
        <v/>
      </c>
    </row>
    <row r="264">
      <c r="A264" s="14">
        <f>IF(C264="","",COUNTA($C$3:C264))</f>
        <v/>
      </c>
    </row>
    <row r="265">
      <c r="A265" s="14">
        <f>IF(C265="","",COUNTA($C$3:C265))</f>
        <v/>
      </c>
    </row>
    <row r="266">
      <c r="A266" s="14">
        <f>IF(C266="","",COUNTA($C$3:C266))</f>
        <v/>
      </c>
    </row>
    <row r="267">
      <c r="A267" s="14">
        <f>IF(C267="","",COUNTA($C$3:C267))</f>
        <v/>
      </c>
    </row>
    <row r="268">
      <c r="A268" s="14">
        <f>IF(C268="","",COUNTA($C$3:C268))</f>
        <v/>
      </c>
    </row>
    <row r="269">
      <c r="A269" s="14">
        <f>IF(C269="","",COUNTA($C$3:C269))</f>
        <v/>
      </c>
    </row>
    <row r="270">
      <c r="A270" s="14">
        <f>IF(C270="","",COUNTA($C$3:C270))</f>
        <v/>
      </c>
    </row>
    <row r="271">
      <c r="A271" s="14">
        <f>IF(C271="","",COUNTA($C$3:C271))</f>
        <v/>
      </c>
    </row>
    <row r="272">
      <c r="A272" s="14">
        <f>IF(C272="","",COUNTA($C$3:C272))</f>
        <v/>
      </c>
    </row>
    <row r="273">
      <c r="A273" s="14">
        <f>IF(C273="","",COUNTA($C$3:C273))</f>
        <v/>
      </c>
    </row>
    <row r="274">
      <c r="A274" s="14">
        <f>IF(C274="","",COUNTA($C$3:C274))</f>
        <v/>
      </c>
    </row>
    <row r="275">
      <c r="A275" s="14">
        <f>IF(C275="","",COUNTA($C$3:C275))</f>
        <v/>
      </c>
    </row>
    <row r="276">
      <c r="A276" s="14">
        <f>IF(C276="","",COUNTA($C$3:C276))</f>
        <v/>
      </c>
    </row>
    <row r="277">
      <c r="A277" s="14">
        <f>IF(C277="","",COUNTA($C$3:C277))</f>
        <v/>
      </c>
    </row>
    <row r="278">
      <c r="A278" s="14">
        <f>IF(C278="","",COUNTA($C$3:C278))</f>
        <v/>
      </c>
    </row>
    <row r="279">
      <c r="A279" s="14">
        <f>IF(C279="","",COUNTA($C$3:C279))</f>
        <v/>
      </c>
    </row>
    <row r="280">
      <c r="A280" s="14">
        <f>IF(C280="","",COUNTA($C$3:C280))</f>
        <v/>
      </c>
    </row>
    <row r="281">
      <c r="A281" s="14">
        <f>IF(C281="","",COUNTA($C$3:C281))</f>
        <v/>
      </c>
    </row>
    <row r="282">
      <c r="A282" s="14">
        <f>IF(C282="","",COUNTA($C$3:C282))</f>
        <v/>
      </c>
    </row>
    <row r="283">
      <c r="A283" s="14">
        <f>IF(C283="","",COUNTA($C$3:C283))</f>
        <v/>
      </c>
    </row>
    <row r="284">
      <c r="A284" s="14">
        <f>IF(C284="","",COUNTA($C$3:C284))</f>
        <v/>
      </c>
    </row>
    <row r="285">
      <c r="A285" s="14">
        <f>IF(C285="","",COUNTA($C$3:C285))</f>
        <v/>
      </c>
    </row>
    <row r="286">
      <c r="A286" s="14">
        <f>IF(C286="","",COUNTA($C$3:C286))</f>
        <v/>
      </c>
    </row>
    <row r="287">
      <c r="A287" s="14">
        <f>IF(C287="","",COUNTA($C$3:C287))</f>
        <v/>
      </c>
    </row>
    <row r="288">
      <c r="A288" s="14">
        <f>IF(C288="","",COUNTA($C$3:C288))</f>
        <v/>
      </c>
    </row>
    <row r="289">
      <c r="A289" s="14">
        <f>IF(C289="","",COUNTA($C$3:C289))</f>
        <v/>
      </c>
    </row>
    <row r="290">
      <c r="A290" s="14">
        <f>IF(C290="","",COUNTA($C$3:C290))</f>
        <v/>
      </c>
    </row>
    <row r="291">
      <c r="A291" s="14">
        <f>IF(C291="","",COUNTA($C$3:C291))</f>
        <v/>
      </c>
    </row>
    <row r="292">
      <c r="A292" s="14">
        <f>IF(C292="","",COUNTA($C$3:C292))</f>
        <v/>
      </c>
    </row>
    <row r="293">
      <c r="A293" s="14">
        <f>IF(C293="","",COUNTA($C$3:C293))</f>
        <v/>
      </c>
    </row>
    <row r="294">
      <c r="A294" s="14">
        <f>IF(C294="","",COUNTA($C$3:C294))</f>
        <v/>
      </c>
    </row>
    <row r="295">
      <c r="A295" s="14">
        <f>IF(C295="","",COUNTA($C$3:C295))</f>
        <v/>
      </c>
    </row>
    <row r="296">
      <c r="A296" s="14">
        <f>IF(C296="","",COUNTA($C$3:C296))</f>
        <v/>
      </c>
    </row>
    <row r="297">
      <c r="A297" s="14">
        <f>IF(C297="","",COUNTA($C$3:C297))</f>
        <v/>
      </c>
    </row>
    <row r="298">
      <c r="A298" s="14">
        <f>IF(C298="","",COUNTA($C$3:C298))</f>
        <v/>
      </c>
    </row>
    <row r="299">
      <c r="A299" s="14">
        <f>IF(C299="","",COUNTA($C$3:C299))</f>
        <v/>
      </c>
    </row>
    <row r="300">
      <c r="A300" s="14">
        <f>IF(C300="","",COUNTA($C$3:C300))</f>
        <v/>
      </c>
    </row>
    <row r="301">
      <c r="A301" s="14">
        <f>IF(C301="","",COUNTA($C$3:C301))</f>
        <v/>
      </c>
    </row>
    <row r="302">
      <c r="A302" s="14">
        <f>IF(C302="","",COUNTA($C$3:C302))</f>
        <v/>
      </c>
    </row>
    <row r="303">
      <c r="A303" s="14">
        <f>IF(C303="","",COUNTA($C$3:C303))</f>
        <v/>
      </c>
    </row>
    <row r="304">
      <c r="A304" s="14">
        <f>IF(C304="","",COUNTA($C$3:C304))</f>
        <v/>
      </c>
    </row>
    <row r="305">
      <c r="A305" s="14">
        <f>IF(C305="","",COUNTA($C$3:C305))</f>
        <v/>
      </c>
    </row>
    <row r="306">
      <c r="A306" s="14">
        <f>IF(C306="","",COUNTA($C$3:C306))</f>
        <v/>
      </c>
    </row>
    <row r="307">
      <c r="A307" s="14">
        <f>IF(C307="","",COUNTA($C$3:C307))</f>
        <v/>
      </c>
    </row>
    <row r="308">
      <c r="A308" s="14">
        <f>IF(C308="","",COUNTA($C$3:C308))</f>
        <v/>
      </c>
    </row>
    <row r="309">
      <c r="A309" s="14">
        <f>IF(C309="","",COUNTA($C$3:C309))</f>
        <v/>
      </c>
    </row>
    <row r="310">
      <c r="A310" s="14">
        <f>IF(C310="","",COUNTA($C$3:C310))</f>
        <v/>
      </c>
    </row>
    <row r="311">
      <c r="A311" s="14">
        <f>IF(C311="","",COUNTA($C$3:C311))</f>
        <v/>
      </c>
    </row>
    <row r="312">
      <c r="A312" s="14">
        <f>IF(C312="","",COUNTA($C$3:C312))</f>
        <v/>
      </c>
    </row>
    <row r="313">
      <c r="A313" s="14">
        <f>IF(C313="","",COUNTA($C$3:C313))</f>
        <v/>
      </c>
    </row>
    <row r="314">
      <c r="A314" s="14">
        <f>IF(C314="","",COUNTA($C$3:C314))</f>
        <v/>
      </c>
    </row>
    <row r="315">
      <c r="A315" s="14">
        <f>IF(C315="","",COUNTA($C$3:C315))</f>
        <v/>
      </c>
    </row>
    <row r="316">
      <c r="A316" s="14">
        <f>IF(C316="","",COUNTA($C$3:C316))</f>
        <v/>
      </c>
    </row>
    <row r="317">
      <c r="A317" s="14">
        <f>IF(C317="","",COUNTA($C$3:C317))</f>
        <v/>
      </c>
    </row>
    <row r="318">
      <c r="A318" s="14">
        <f>IF(C318="","",COUNTA($C$3:C318))</f>
        <v/>
      </c>
    </row>
    <row r="319">
      <c r="A319" s="14">
        <f>IF(C319="","",COUNTA($C$3:C319))</f>
        <v/>
      </c>
    </row>
    <row r="320">
      <c r="A320" s="14">
        <f>IF(C320="","",COUNTA($C$3:C320))</f>
        <v/>
      </c>
    </row>
    <row r="321">
      <c r="A321" s="14">
        <f>IF(C321="","",COUNTA($C$3:C321))</f>
        <v/>
      </c>
    </row>
    <row r="322">
      <c r="A322" s="14">
        <f>IF(C322="","",COUNTA($C$3:C322))</f>
        <v/>
      </c>
    </row>
    <row r="323">
      <c r="A323" s="14">
        <f>IF(C323="","",COUNTA($C$3:C323))</f>
        <v/>
      </c>
    </row>
    <row r="324">
      <c r="A324" s="14">
        <f>IF(C324="","",COUNTA($C$3:C324))</f>
        <v/>
      </c>
    </row>
    <row r="325">
      <c r="A325" s="14">
        <f>IF(C325="","",COUNTA($C$3:C325))</f>
        <v/>
      </c>
    </row>
    <row r="326">
      <c r="A326" s="14">
        <f>IF(C326="","",COUNTA($C$3:C326))</f>
        <v/>
      </c>
    </row>
    <row r="327">
      <c r="A327" s="14">
        <f>IF(C327="","",COUNTA($C$3:C327))</f>
        <v/>
      </c>
    </row>
    <row r="328">
      <c r="A328" s="14">
        <f>IF(C328="","",COUNTA($C$3:C328))</f>
        <v/>
      </c>
    </row>
    <row r="329">
      <c r="A329" s="14">
        <f>IF(C329="","",COUNTA($C$3:C329))</f>
        <v/>
      </c>
    </row>
    <row r="330">
      <c r="A330" s="14">
        <f>IF(C330="","",COUNTA($C$3:C330))</f>
        <v/>
      </c>
    </row>
    <row r="331">
      <c r="A331" s="14">
        <f>IF(C331="","",COUNTA($C$3:C331))</f>
        <v/>
      </c>
    </row>
    <row r="332">
      <c r="A332" s="14">
        <f>IF(C332="","",COUNTA($C$3:C332))</f>
        <v/>
      </c>
    </row>
    <row r="333">
      <c r="A333" s="14">
        <f>IF(C333="","",COUNTA($C$3:C333))</f>
        <v/>
      </c>
    </row>
    <row r="334">
      <c r="A334" s="14">
        <f>IF(C334="","",COUNTA($C$3:C334))</f>
        <v/>
      </c>
    </row>
    <row r="335">
      <c r="A335" s="14">
        <f>IF(C335="","",COUNTA($C$3:C335))</f>
        <v/>
      </c>
    </row>
    <row r="336">
      <c r="A336" s="14">
        <f>IF(C336="","",COUNTA($C$3:C336))</f>
        <v/>
      </c>
    </row>
    <row r="337">
      <c r="A337" s="14">
        <f>IF(C337="","",COUNTA($C$3:C337))</f>
        <v/>
      </c>
    </row>
    <row r="338">
      <c r="A338" s="14">
        <f>IF(C338="","",COUNTA($C$3:C338))</f>
        <v/>
      </c>
    </row>
    <row r="339">
      <c r="A339" s="14">
        <f>IF(C339="","",COUNTA($C$3:C339))</f>
        <v/>
      </c>
    </row>
    <row r="340">
      <c r="A340" s="14">
        <f>IF(C340="","",COUNTA($C$3:C340))</f>
        <v/>
      </c>
    </row>
    <row r="341">
      <c r="A341" s="14">
        <f>IF(C341="","",COUNTA($C$3:C341))</f>
        <v/>
      </c>
    </row>
    <row r="342">
      <c r="A342" s="14">
        <f>IF(C342="","",COUNTA($C$3:C342))</f>
        <v/>
      </c>
    </row>
    <row r="343">
      <c r="A343" s="14">
        <f>IF(C343="","",COUNTA($C$3:C343))</f>
        <v/>
      </c>
    </row>
    <row r="344">
      <c r="A344" s="14">
        <f>IF(C344="","",COUNTA($C$3:C344))</f>
        <v/>
      </c>
    </row>
    <row r="345">
      <c r="A345" s="14">
        <f>IF(C345="","",COUNTA($C$3:C345))</f>
        <v/>
      </c>
    </row>
    <row r="346">
      <c r="A346" s="14">
        <f>IF(C346="","",COUNTA($C$3:C346))</f>
        <v/>
      </c>
    </row>
    <row r="347">
      <c r="A347" s="14">
        <f>IF(C347="","",COUNTA($C$3:C347))</f>
        <v/>
      </c>
    </row>
    <row r="348">
      <c r="A348" s="14">
        <f>IF(C348="","",COUNTA($C$3:C348))</f>
        <v/>
      </c>
    </row>
    <row r="349">
      <c r="A349" s="14">
        <f>IF(C349="","",COUNTA($C$3:C349))</f>
        <v/>
      </c>
    </row>
    <row r="350">
      <c r="A350" s="14">
        <f>IF(C350="","",COUNTA($C$3:C350))</f>
        <v/>
      </c>
    </row>
    <row r="351">
      <c r="A351" s="14">
        <f>IF(C351="","",COUNTA($C$3:C351))</f>
        <v/>
      </c>
    </row>
    <row r="352">
      <c r="A352" s="14">
        <f>IF(C352="","",COUNTA($C$3:C352))</f>
        <v/>
      </c>
    </row>
    <row r="353">
      <c r="A353" s="14">
        <f>IF(C353="","",COUNTA($C$3:C353))</f>
        <v/>
      </c>
    </row>
    <row r="354">
      <c r="A354" s="14">
        <f>IF(C354="","",COUNTA($C$3:C354))</f>
        <v/>
      </c>
    </row>
    <row r="355">
      <c r="A355" s="14">
        <f>IF(C355="","",COUNTA($C$3:C355))</f>
        <v/>
      </c>
    </row>
    <row r="356">
      <c r="A356" s="14">
        <f>IF(C356="","",COUNTA($C$3:C356))</f>
        <v/>
      </c>
    </row>
    <row r="357">
      <c r="A357" s="14">
        <f>IF(C357="","",COUNTA($C$3:C357))</f>
        <v/>
      </c>
    </row>
    <row r="358">
      <c r="A358" s="14">
        <f>IF(C358="","",COUNTA($C$3:C358))</f>
        <v/>
      </c>
    </row>
    <row r="359">
      <c r="A359" s="14">
        <f>IF(C359="","",COUNTA($C$3:C359))</f>
        <v/>
      </c>
    </row>
    <row r="360">
      <c r="A360" s="14">
        <f>IF(C360="","",COUNTA($C$3:C360))</f>
        <v/>
      </c>
    </row>
    <row r="361">
      <c r="A361" s="14">
        <f>IF(C361="","",COUNTA($C$3:C361))</f>
        <v/>
      </c>
    </row>
    <row r="362">
      <c r="A362" s="14">
        <f>IF(C362="","",COUNTA($C$3:C362))</f>
        <v/>
      </c>
    </row>
    <row r="363">
      <c r="A363" s="14">
        <f>IF(C363="","",COUNTA($C$3:C363))</f>
        <v/>
      </c>
    </row>
    <row r="364">
      <c r="A364" s="14">
        <f>IF(C364="","",COUNTA($C$3:C364))</f>
        <v/>
      </c>
    </row>
    <row r="365">
      <c r="A365" s="14">
        <f>IF(C365="","",COUNTA($C$3:C365))</f>
        <v/>
      </c>
    </row>
    <row r="366">
      <c r="A366" s="14">
        <f>IF(C366="","",COUNTA($C$3:C366))</f>
        <v/>
      </c>
    </row>
    <row r="367">
      <c r="A367" s="14">
        <f>IF(C367="","",COUNTA($C$3:C367))</f>
        <v/>
      </c>
    </row>
    <row r="368">
      <c r="A368" s="14">
        <f>IF(C368="","",COUNTA($C$3:C368))</f>
        <v/>
      </c>
    </row>
    <row r="369">
      <c r="A369" s="14">
        <f>IF(C369="","",COUNTA($C$3:C369))</f>
        <v/>
      </c>
    </row>
    <row r="370">
      <c r="A370" s="14">
        <f>IF(C370="","",COUNTA($C$3:C370))</f>
        <v/>
      </c>
    </row>
    <row r="371">
      <c r="A371" s="14">
        <f>IF(C371="","",COUNTA($C$3:C371))</f>
        <v/>
      </c>
    </row>
    <row r="372">
      <c r="A372" s="14">
        <f>IF(C372="","",COUNTA($C$3:C372))</f>
        <v/>
      </c>
    </row>
    <row r="373">
      <c r="A373" s="14">
        <f>IF(C373="","",COUNTA($C$3:C373))</f>
        <v/>
      </c>
    </row>
    <row r="374">
      <c r="A374" s="14">
        <f>IF(C374="","",COUNTA($C$3:C374))</f>
        <v/>
      </c>
    </row>
    <row r="375">
      <c r="A375" s="14">
        <f>IF(C375="","",COUNTA($C$3:C375))</f>
        <v/>
      </c>
    </row>
    <row r="376">
      <c r="A376" s="14">
        <f>IF(C376="","",COUNTA($C$3:C376))</f>
        <v/>
      </c>
    </row>
    <row r="377">
      <c r="A377" s="14">
        <f>IF(C377="","",COUNTA($C$3:C377))</f>
        <v/>
      </c>
    </row>
    <row r="378">
      <c r="A378" s="14">
        <f>IF(C378="","",COUNTA($C$3:C378))</f>
        <v/>
      </c>
    </row>
    <row r="379">
      <c r="A379" s="14">
        <f>IF(C379="","",COUNTA($C$3:C379))</f>
        <v/>
      </c>
    </row>
    <row r="380">
      <c r="A380" s="14">
        <f>IF(C380="","",COUNTA($C$3:C380))</f>
        <v/>
      </c>
    </row>
    <row r="381">
      <c r="A381" s="14">
        <f>IF(C381="","",COUNTA($C$3:C381))</f>
        <v/>
      </c>
    </row>
    <row r="382">
      <c r="A382" s="14">
        <f>IF(C382="","",COUNTA($C$3:C382))</f>
        <v/>
      </c>
    </row>
    <row r="383">
      <c r="A383" s="14">
        <f>IF(C383="","",COUNTA($C$3:C383))</f>
        <v/>
      </c>
    </row>
    <row r="384">
      <c r="A384" s="14">
        <f>IF(C384="","",COUNTA($C$3:C384))</f>
        <v/>
      </c>
    </row>
    <row r="385">
      <c r="A385" s="14">
        <f>IF(C385="","",COUNTA($C$3:C385))</f>
        <v/>
      </c>
    </row>
    <row r="386">
      <c r="A386" s="14">
        <f>IF(C386="","",COUNTA($C$3:C386))</f>
        <v/>
      </c>
    </row>
    <row r="387">
      <c r="A387" s="14">
        <f>IF(C387="","",COUNTA($C$3:C387))</f>
        <v/>
      </c>
    </row>
    <row r="388">
      <c r="A388" s="14">
        <f>IF(C388="","",COUNTA($C$3:C388))</f>
        <v/>
      </c>
    </row>
    <row r="389">
      <c r="A389" s="14">
        <f>IF(C389="","",COUNTA($C$3:C389))</f>
        <v/>
      </c>
    </row>
    <row r="390">
      <c r="A390" s="14">
        <f>IF(C390="","",COUNTA($C$3:C390))</f>
        <v/>
      </c>
    </row>
    <row r="391">
      <c r="A391" s="14">
        <f>IF(C391="","",COUNTA($C$3:C391))</f>
        <v/>
      </c>
    </row>
    <row r="392">
      <c r="A392" s="14">
        <f>IF(C392="","",COUNTA($C$3:C392))</f>
        <v/>
      </c>
    </row>
    <row r="393">
      <c r="A393" s="14">
        <f>IF(C393="","",COUNTA($C$3:C393))</f>
        <v/>
      </c>
    </row>
    <row r="394">
      <c r="A394" s="14">
        <f>IF(C394="","",COUNTA($C$3:C394))</f>
        <v/>
      </c>
    </row>
    <row r="395">
      <c r="A395" s="14">
        <f>IF(C395="","",COUNTA($C$3:C395))</f>
        <v/>
      </c>
    </row>
    <row r="396">
      <c r="A396" s="14">
        <f>IF(C396="","",COUNTA($C$3:C396))</f>
        <v/>
      </c>
    </row>
    <row r="397">
      <c r="A397" s="14">
        <f>IF(C397="","",COUNTA($C$3:C397))</f>
        <v/>
      </c>
    </row>
    <row r="398">
      <c r="A398" s="14">
        <f>IF(C398="","",COUNTA($C$3:C398))</f>
        <v/>
      </c>
    </row>
    <row r="399">
      <c r="A399" s="14">
        <f>IF(C399="","",COUNTA($C$3:C399))</f>
        <v/>
      </c>
    </row>
    <row r="400">
      <c r="A400" s="14">
        <f>IF(C400="","",COUNTA($C$3:C400))</f>
        <v/>
      </c>
    </row>
    <row r="401">
      <c r="A401" s="14">
        <f>IF(C401="","",COUNTA($C$3:C401))</f>
        <v/>
      </c>
    </row>
    <row r="402">
      <c r="A402" s="14">
        <f>IF(C402="","",COUNTA($C$3:C402))</f>
        <v/>
      </c>
    </row>
    <row r="403">
      <c r="A403" s="14">
        <f>IF(C403="","",COUNTA($C$3:C403))</f>
        <v/>
      </c>
    </row>
    <row r="404">
      <c r="A404" s="14">
        <f>IF(C404="","",COUNTA($C$3:C404))</f>
        <v/>
      </c>
    </row>
    <row r="405">
      <c r="A405" s="14">
        <f>IF(C405="","",COUNTA($C$3:C405))</f>
        <v/>
      </c>
    </row>
    <row r="406">
      <c r="A406" s="14">
        <f>IF(C406="","",COUNTA($C$3:C406))</f>
        <v/>
      </c>
    </row>
    <row r="407">
      <c r="A407" s="14">
        <f>IF(C407="","",COUNTA($C$3:C407))</f>
        <v/>
      </c>
    </row>
    <row r="408">
      <c r="A408" s="14">
        <f>IF(C408="","",COUNTA($C$3:C408))</f>
        <v/>
      </c>
    </row>
    <row r="409">
      <c r="A409" s="14">
        <f>IF(C409="","",COUNTA($C$3:C409))</f>
        <v/>
      </c>
    </row>
    <row r="410">
      <c r="A410" s="14">
        <f>IF(C410="","",COUNTA($C$3:C410))</f>
        <v/>
      </c>
    </row>
    <row r="411">
      <c r="A411" s="14">
        <f>IF(C411="","",COUNTA($C$3:C411))</f>
        <v/>
      </c>
    </row>
    <row r="412">
      <c r="A412" s="14">
        <f>IF(C412="","",COUNTA($C$3:C412))</f>
        <v/>
      </c>
    </row>
    <row r="413">
      <c r="A413" s="14">
        <f>IF(C413="","",COUNTA($C$3:C413))</f>
        <v/>
      </c>
    </row>
    <row r="414">
      <c r="A414" s="14">
        <f>IF(C414="","",COUNTA($C$3:C414))</f>
        <v/>
      </c>
    </row>
    <row r="415">
      <c r="A415" s="14">
        <f>IF(C415="","",COUNTA($C$3:C415))</f>
        <v/>
      </c>
    </row>
    <row r="416">
      <c r="A416" s="14">
        <f>IF(C416="","",COUNTA($C$3:C416))</f>
        <v/>
      </c>
    </row>
    <row r="417">
      <c r="A417" s="14">
        <f>IF(C417="","",COUNTA($C$3:C417))</f>
        <v/>
      </c>
    </row>
    <row r="418">
      <c r="A418" s="14">
        <f>IF(C418="","",COUNTA($C$3:C418))</f>
        <v/>
      </c>
    </row>
    <row r="419">
      <c r="A419" s="14">
        <f>IF(C419="","",COUNTA($C$3:C419))</f>
        <v/>
      </c>
    </row>
    <row r="420">
      <c r="A420" s="14">
        <f>IF(C420="","",COUNTA($C$3:C420))</f>
        <v/>
      </c>
    </row>
    <row r="421">
      <c r="A421" s="14">
        <f>IF(C421="","",COUNTA($C$3:C421))</f>
        <v/>
      </c>
    </row>
    <row r="422">
      <c r="A422" s="14">
        <f>IF(C422="","",COUNTA($C$3:C422))</f>
        <v/>
      </c>
    </row>
    <row r="423">
      <c r="A423" s="14">
        <f>IF(C423="","",COUNTA($C$3:C423))</f>
        <v/>
      </c>
    </row>
    <row r="424">
      <c r="A424" s="14">
        <f>IF(C424="","",COUNTA($C$3:C424))</f>
        <v/>
      </c>
    </row>
    <row r="425">
      <c r="A425" s="14">
        <f>IF(C425="","",COUNTA($C$3:C425))</f>
        <v/>
      </c>
    </row>
    <row r="426">
      <c r="A426" s="14">
        <f>IF(C426="","",COUNTA($C$3:C426))</f>
        <v/>
      </c>
    </row>
    <row r="427">
      <c r="A427" s="14">
        <f>IF(C427="","",COUNTA($C$3:C427))</f>
        <v/>
      </c>
    </row>
    <row r="428">
      <c r="A428" s="14">
        <f>IF(C428="","",COUNTA($C$3:C428))</f>
        <v/>
      </c>
    </row>
    <row r="429">
      <c r="A429" s="14">
        <f>IF(C429="","",COUNTA($C$3:C429))</f>
        <v/>
      </c>
    </row>
    <row r="430">
      <c r="A430" s="14">
        <f>IF(C430="","",COUNTA($C$3:C430))</f>
        <v/>
      </c>
    </row>
    <row r="431">
      <c r="A431" s="14">
        <f>IF(C431="","",COUNTA($C$3:C431))</f>
        <v/>
      </c>
    </row>
    <row r="432">
      <c r="A432" s="14">
        <f>IF(C432="","",COUNTA($C$3:C432))</f>
        <v/>
      </c>
    </row>
    <row r="433">
      <c r="A433" s="14">
        <f>IF(C433="","",COUNTA($C$3:C433))</f>
        <v/>
      </c>
    </row>
    <row r="434">
      <c r="A434" s="14">
        <f>IF(C434="","",COUNTA($C$3:C434))</f>
        <v/>
      </c>
    </row>
    <row r="435">
      <c r="A435" s="14">
        <f>IF(C435="","",COUNTA($C$3:C435))</f>
        <v/>
      </c>
    </row>
    <row r="436">
      <c r="A436" s="14">
        <f>IF(C436="","",COUNTA($C$3:C436))</f>
        <v/>
      </c>
    </row>
    <row r="437">
      <c r="A437" s="14">
        <f>IF(C437="","",COUNTA($C$3:C437))</f>
        <v/>
      </c>
    </row>
    <row r="438">
      <c r="A438" s="14">
        <f>IF(C438="","",COUNTA($C$3:C438))</f>
        <v/>
      </c>
    </row>
    <row r="439">
      <c r="A439" s="14">
        <f>IF(C439="","",COUNTA($C$3:C439))</f>
        <v/>
      </c>
    </row>
    <row r="440">
      <c r="A440" s="14">
        <f>IF(C440="","",COUNTA($C$3:C440))</f>
        <v/>
      </c>
    </row>
    <row r="441">
      <c r="A441" s="14">
        <f>IF(C441="","",COUNTA($C$3:C441))</f>
        <v/>
      </c>
    </row>
    <row r="442">
      <c r="A442" s="14">
        <f>IF(C442="","",COUNTA($C$3:C442))</f>
        <v/>
      </c>
    </row>
    <row r="443">
      <c r="A443" s="14">
        <f>IF(C443="","",COUNTA($C$3:C443))</f>
        <v/>
      </c>
    </row>
    <row r="444">
      <c r="A444" s="14">
        <f>IF(C444="","",COUNTA($C$3:C444))</f>
        <v/>
      </c>
    </row>
    <row r="445">
      <c r="A445" s="14">
        <f>IF(C445="","",COUNTA($C$3:C445))</f>
        <v/>
      </c>
    </row>
    <row r="446">
      <c r="A446" s="14">
        <f>IF(C446="","",COUNTA($C$3:C446))</f>
        <v/>
      </c>
    </row>
    <row r="447">
      <c r="A447" s="14">
        <f>IF(C447="","",COUNTA($C$3:C447))</f>
        <v/>
      </c>
    </row>
    <row r="448">
      <c r="A448" s="14">
        <f>IF(C448="","",COUNTA($C$3:C448))</f>
        <v/>
      </c>
    </row>
    <row r="449">
      <c r="A449" s="14">
        <f>IF(C449="","",COUNTA($C$3:C449))</f>
        <v/>
      </c>
    </row>
    <row r="450">
      <c r="A450" s="14">
        <f>IF(C450="","",COUNTA($C$3:C450))</f>
        <v/>
      </c>
    </row>
    <row r="451">
      <c r="A451" s="14">
        <f>IF(C451="","",COUNTA($C$3:C451))</f>
        <v/>
      </c>
    </row>
    <row r="452">
      <c r="A452" s="14">
        <f>IF(C452="","",COUNTA($C$3:C452))</f>
        <v/>
      </c>
    </row>
    <row r="453">
      <c r="A453" s="14">
        <f>IF(C453="","",COUNTA($C$3:C453))</f>
        <v/>
      </c>
    </row>
    <row r="454">
      <c r="A454" s="14">
        <f>IF(C454="","",COUNTA($C$3:C454))</f>
        <v/>
      </c>
    </row>
    <row r="455">
      <c r="A455" s="14">
        <f>IF(C455="","",COUNTA($C$3:C455))</f>
        <v/>
      </c>
    </row>
    <row r="456">
      <c r="A456" s="14">
        <f>IF(C456="","",COUNTA($C$3:C456))</f>
        <v/>
      </c>
    </row>
    <row r="457">
      <c r="A457" s="14">
        <f>IF(C457="","",COUNTA($C$3:C457))</f>
        <v/>
      </c>
    </row>
    <row r="458">
      <c r="A458" s="14">
        <f>IF(C458="","",COUNTA($C$3:C458))</f>
        <v/>
      </c>
    </row>
    <row r="459">
      <c r="A459" s="14">
        <f>IF(C459="","",COUNTA($C$3:C459))</f>
        <v/>
      </c>
    </row>
    <row r="460">
      <c r="A460" s="14">
        <f>IF(C460="","",COUNTA($C$3:C460))</f>
        <v/>
      </c>
    </row>
    <row r="461">
      <c r="A461" s="14">
        <f>IF(C461="","",COUNTA($C$3:C461))</f>
        <v/>
      </c>
    </row>
    <row r="462">
      <c r="A462" s="14">
        <f>IF(C462="","",COUNTA($C$3:C462))</f>
        <v/>
      </c>
    </row>
    <row r="463">
      <c r="A463" s="14">
        <f>IF(C463="","",COUNTA($C$3:C463))</f>
        <v/>
      </c>
    </row>
    <row r="464">
      <c r="A464" s="14">
        <f>IF(C464="","",COUNTA($C$3:C464))</f>
        <v/>
      </c>
    </row>
    <row r="465">
      <c r="A465" s="14">
        <f>IF(C465="","",COUNTA($C$3:C465))</f>
        <v/>
      </c>
    </row>
    <row r="466">
      <c r="A466" s="14">
        <f>IF(C466="","",COUNTA($C$3:C466))</f>
        <v/>
      </c>
    </row>
    <row r="467">
      <c r="A467" s="14">
        <f>IF(C467="","",COUNTA($C$3:C467))</f>
        <v/>
      </c>
    </row>
    <row r="468">
      <c r="A468" s="14">
        <f>IF(C468="","",COUNTA($C$3:C468))</f>
        <v/>
      </c>
    </row>
    <row r="469">
      <c r="A469" s="14">
        <f>IF(C469="","",COUNTA($C$3:C469))</f>
        <v/>
      </c>
    </row>
    <row r="470">
      <c r="A470" s="14">
        <f>IF(C470="","",COUNTA($C$3:C470))</f>
        <v/>
      </c>
    </row>
    <row r="471">
      <c r="A471" s="14">
        <f>IF(C471="","",COUNTA($C$3:C471))</f>
        <v/>
      </c>
    </row>
    <row r="472">
      <c r="A472" s="14">
        <f>IF(C472="","",COUNTA($C$3:C472))</f>
        <v/>
      </c>
    </row>
    <row r="473">
      <c r="A473" s="14">
        <f>IF(C473="","",COUNTA($C$3:C473))</f>
        <v/>
      </c>
    </row>
    <row r="474">
      <c r="A474" s="14">
        <f>IF(C474="","",COUNTA($C$3:C474))</f>
        <v/>
      </c>
    </row>
    <row r="475">
      <c r="A475" s="14">
        <f>IF(C475="","",COUNTA($C$3:C475))</f>
        <v/>
      </c>
    </row>
    <row r="476">
      <c r="A476" s="14">
        <f>IF(C476="","",COUNTA($C$3:C476))</f>
        <v/>
      </c>
    </row>
    <row r="477">
      <c r="A477" s="14">
        <f>IF(C477="","",COUNTA($C$3:C477))</f>
        <v/>
      </c>
    </row>
    <row r="478">
      <c r="A478" s="14">
        <f>IF(C478="","",COUNTA($C$3:C478))</f>
        <v/>
      </c>
    </row>
    <row r="479">
      <c r="A479" s="14">
        <f>IF(C479="","",COUNTA($C$3:C479))</f>
        <v/>
      </c>
    </row>
    <row r="480">
      <c r="A480" s="14">
        <f>IF(C480="","",COUNTA($C$3:C480))</f>
        <v/>
      </c>
    </row>
    <row r="481">
      <c r="A481" s="14">
        <f>IF(C481="","",COUNTA($C$3:C481))</f>
        <v/>
      </c>
    </row>
    <row r="482">
      <c r="A482" s="14">
        <f>IF(C482="","",COUNTA($C$3:C482))</f>
        <v/>
      </c>
    </row>
    <row r="483">
      <c r="A483" s="14">
        <f>IF(C483="","",COUNTA($C$3:C483))</f>
        <v/>
      </c>
    </row>
    <row r="484">
      <c r="A484" s="14">
        <f>IF(C484="","",COUNTA($C$3:C484))</f>
        <v/>
      </c>
    </row>
    <row r="485">
      <c r="A485" s="14">
        <f>IF(C485="","",COUNTA($C$3:C485))</f>
        <v/>
      </c>
    </row>
    <row r="486">
      <c r="A486" s="14">
        <f>IF(C486="","",COUNTA($C$3:C486))</f>
        <v/>
      </c>
    </row>
    <row r="487">
      <c r="A487" s="14">
        <f>IF(C487="","",COUNTA($C$3:C487))</f>
        <v/>
      </c>
    </row>
    <row r="488">
      <c r="A488" s="14">
        <f>IF(C488="","",COUNTA($C$3:C488))</f>
        <v/>
      </c>
    </row>
    <row r="489">
      <c r="A489" s="14">
        <f>IF(C489="","",COUNTA($C$3:C489))</f>
        <v/>
      </c>
    </row>
    <row r="490">
      <c r="A490" s="14">
        <f>IF(C490="","",COUNTA($C$3:C490))</f>
        <v/>
      </c>
    </row>
    <row r="491">
      <c r="A491" s="14">
        <f>IF(C491="","",COUNTA($C$3:C491))</f>
        <v/>
      </c>
    </row>
    <row r="492">
      <c r="A492" s="14">
        <f>IF(C492="","",COUNTA($C$3:C492))</f>
        <v/>
      </c>
    </row>
    <row r="493">
      <c r="A493" s="14">
        <f>IF(C493="","",COUNTA($C$3:C493))</f>
        <v/>
      </c>
    </row>
    <row r="494">
      <c r="A494" s="14">
        <f>IF(C494="","",COUNTA($C$3:C494))</f>
        <v/>
      </c>
    </row>
    <row r="495">
      <c r="A495" s="14">
        <f>IF(C495="","",COUNTA($C$3:C495))</f>
        <v/>
      </c>
    </row>
    <row r="496">
      <c r="A496" s="14">
        <f>IF(C496="","",COUNTA($C$3:C496))</f>
        <v/>
      </c>
    </row>
    <row r="497">
      <c r="A497" s="14">
        <f>IF(C497="","",COUNTA($C$3:C497))</f>
        <v/>
      </c>
    </row>
    <row r="498">
      <c r="A498" s="14">
        <f>IF(C498="","",COUNTA($C$3:C498))</f>
        <v/>
      </c>
    </row>
    <row r="499">
      <c r="A499" s="14">
        <f>IF(C499="","",COUNTA($C$3:C499))</f>
        <v/>
      </c>
    </row>
    <row r="500">
      <c r="A500" s="14">
        <f>IF(C500="","",COUNTA($C$3:C500))</f>
        <v/>
      </c>
    </row>
    <row r="501">
      <c r="A501" s="14">
        <f>IF(C501="","",COUNTA($C$3:C501))</f>
        <v/>
      </c>
    </row>
    <row r="502">
      <c r="A502" s="14">
        <f>IF(C502="","",COUNTA($C$3:C502))</f>
        <v/>
      </c>
    </row>
  </sheetData>
  <mergeCells count="1">
    <mergeCell ref="A1:L1"/>
  </mergeCells>
  <dataValidations count="3">
    <dataValidation sqref="F3:F2000" showDropDown="0" showInputMessage="0" showErrorMessage="0" allowBlank="1" type="list">
      <formula1>"LinkedIn,邮件,电话,WhatsApp,线下"</formula1>
    </dataValidation>
    <dataValidation sqref="G3:G2000" showDropDown="0" showInputMessage="0" showErrorMessage="0" allowBlank="1" type="list">
      <formula1>"发出,收到"</formula1>
    </dataValidation>
    <dataValidation sqref="J3:J2000" showDropDown="0" showInputMessage="0" showErrorMessage="0" allowBlank="1" type="list">
      <formula1>"待接触,已发消息,已建对话,产品信息已发,询盘中,报价已发,谈判中,已成单,暂停跟进,放弃"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L5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12" customWidth="1" min="4" max="4"/>
    <col width="26" customWidth="1" min="5" max="5"/>
    <col width="12" customWidth="1" min="6" max="6"/>
    <col width="12" customWidth="1" min="7" max="7"/>
    <col width="12" customWidth="1" min="8" max="8"/>
    <col width="11" customWidth="1" min="9" max="9"/>
    <col width="13" customWidth="1" min="10" max="10"/>
    <col width="12" customWidth="1" min="11" max="11"/>
    <col width="36" customWidth="1" min="12" max="12"/>
  </cols>
  <sheetData>
    <row r="1" ht="28" customHeight="1">
      <c r="A1" s="10" t="inlineStr">
        <is>
          <t>Wischos Gift — 报价记录                                        ← 点击返回主板</t>
        </is>
      </c>
    </row>
    <row r="2" ht="22" customHeight="1">
      <c r="A2" s="6" t="inlineStr">
        <is>
          <t>报价ID</t>
        </is>
      </c>
      <c r="B2" s="6" t="inlineStr">
        <is>
          <t>客户ID</t>
        </is>
      </c>
      <c r="C2" s="6" t="inlineStr">
        <is>
          <t>公司名</t>
        </is>
      </c>
      <c r="D2" s="6" t="inlineStr">
        <is>
          <t>报价日期</t>
        </is>
      </c>
      <c r="E2" s="6" t="inlineStr">
        <is>
          <t>产品/套件</t>
        </is>
      </c>
      <c r="F2" s="6" t="inlineStr">
        <is>
          <t>数量(sets)</t>
        </is>
      </c>
      <c r="G2" s="6" t="inlineStr">
        <is>
          <t>FOB单价($)</t>
        </is>
      </c>
      <c r="H2" s="6" t="inlineStr">
        <is>
          <t>总价($)</t>
        </is>
      </c>
      <c r="I2" s="6" t="inlineStr">
        <is>
          <t>交期(天)</t>
        </is>
      </c>
      <c r="J2" s="6" t="inlineStr">
        <is>
          <t>报价状态</t>
        </is>
      </c>
      <c r="K2" s="6" t="inlineStr">
        <is>
          <t>跟进日期</t>
        </is>
      </c>
      <c r="L2" s="6" t="inlineStr">
        <is>
          <t>结果/备注</t>
        </is>
      </c>
    </row>
    <row r="3">
      <c r="H3" s="14">
        <f>IFERROR(F3*G3,"")</f>
        <v/>
      </c>
    </row>
    <row r="4">
      <c r="H4" s="14">
        <f>IFERROR(F4*G4,"")</f>
        <v/>
      </c>
    </row>
    <row r="5">
      <c r="H5" s="14">
        <f>IFERROR(F5*G5,"")</f>
        <v/>
      </c>
    </row>
    <row r="6">
      <c r="H6" s="14">
        <f>IFERROR(F6*G6,"")</f>
        <v/>
      </c>
    </row>
    <row r="7">
      <c r="H7" s="14">
        <f>IFERROR(F7*G7,"")</f>
        <v/>
      </c>
    </row>
    <row r="8">
      <c r="H8" s="14">
        <f>IFERROR(F8*G8,"")</f>
        <v/>
      </c>
    </row>
    <row r="9">
      <c r="H9" s="14">
        <f>IFERROR(F9*G9,"")</f>
        <v/>
      </c>
    </row>
    <row r="10">
      <c r="H10" s="14">
        <f>IFERROR(F10*G10,"")</f>
        <v/>
      </c>
    </row>
    <row r="11">
      <c r="H11" s="14">
        <f>IFERROR(F11*G11,"")</f>
        <v/>
      </c>
    </row>
    <row r="12">
      <c r="H12" s="14">
        <f>IFERROR(F12*G12,"")</f>
        <v/>
      </c>
    </row>
    <row r="13">
      <c r="H13" s="14">
        <f>IFERROR(F13*G13,"")</f>
        <v/>
      </c>
    </row>
    <row r="14">
      <c r="H14" s="14">
        <f>IFERROR(F14*G14,"")</f>
        <v/>
      </c>
    </row>
    <row r="15">
      <c r="H15" s="14">
        <f>IFERROR(F15*G15,"")</f>
        <v/>
      </c>
    </row>
    <row r="16">
      <c r="H16" s="14">
        <f>IFERROR(F16*G16,"")</f>
        <v/>
      </c>
    </row>
    <row r="17">
      <c r="H17" s="14">
        <f>IFERROR(F17*G17,"")</f>
        <v/>
      </c>
    </row>
    <row r="18">
      <c r="H18" s="14">
        <f>IFERROR(F18*G18,"")</f>
        <v/>
      </c>
    </row>
    <row r="19">
      <c r="H19" s="14">
        <f>IFERROR(F19*G19,"")</f>
        <v/>
      </c>
    </row>
    <row r="20">
      <c r="H20" s="14">
        <f>IFERROR(F20*G20,"")</f>
        <v/>
      </c>
    </row>
    <row r="21">
      <c r="H21" s="14">
        <f>IFERROR(F21*G21,"")</f>
        <v/>
      </c>
    </row>
    <row r="22">
      <c r="H22" s="14">
        <f>IFERROR(F22*G22,"")</f>
        <v/>
      </c>
    </row>
    <row r="23">
      <c r="H23" s="14">
        <f>IFERROR(F23*G23,"")</f>
        <v/>
      </c>
    </row>
    <row r="24">
      <c r="H24" s="14">
        <f>IFERROR(F24*G24,"")</f>
        <v/>
      </c>
    </row>
    <row r="25">
      <c r="H25" s="14">
        <f>IFERROR(F25*G25,"")</f>
        <v/>
      </c>
    </row>
    <row r="26">
      <c r="H26" s="14">
        <f>IFERROR(F26*G26,"")</f>
        <v/>
      </c>
    </row>
    <row r="27">
      <c r="H27" s="14">
        <f>IFERROR(F27*G27,"")</f>
        <v/>
      </c>
    </row>
    <row r="28">
      <c r="H28" s="14">
        <f>IFERROR(F28*G28,"")</f>
        <v/>
      </c>
    </row>
    <row r="29">
      <c r="H29" s="14">
        <f>IFERROR(F29*G29,"")</f>
        <v/>
      </c>
    </row>
    <row r="30">
      <c r="H30" s="14">
        <f>IFERROR(F30*G30,"")</f>
        <v/>
      </c>
    </row>
    <row r="31">
      <c r="H31" s="14">
        <f>IFERROR(F31*G31,"")</f>
        <v/>
      </c>
    </row>
    <row r="32">
      <c r="H32" s="14">
        <f>IFERROR(F32*G32,"")</f>
        <v/>
      </c>
    </row>
    <row r="33">
      <c r="H33" s="14">
        <f>IFERROR(F33*G33,"")</f>
        <v/>
      </c>
    </row>
    <row r="34">
      <c r="H34" s="14">
        <f>IFERROR(F34*G34,"")</f>
        <v/>
      </c>
    </row>
    <row r="35">
      <c r="H35" s="14">
        <f>IFERROR(F35*G35,"")</f>
        <v/>
      </c>
    </row>
    <row r="36">
      <c r="H36" s="14">
        <f>IFERROR(F36*G36,"")</f>
        <v/>
      </c>
    </row>
    <row r="37">
      <c r="H37" s="14">
        <f>IFERROR(F37*G37,"")</f>
        <v/>
      </c>
    </row>
    <row r="38">
      <c r="H38" s="14">
        <f>IFERROR(F38*G38,"")</f>
        <v/>
      </c>
    </row>
    <row r="39">
      <c r="H39" s="14">
        <f>IFERROR(F39*G39,"")</f>
        <v/>
      </c>
    </row>
    <row r="40">
      <c r="H40" s="14">
        <f>IFERROR(F40*G40,"")</f>
        <v/>
      </c>
    </row>
    <row r="41">
      <c r="H41" s="14">
        <f>IFERROR(F41*G41,"")</f>
        <v/>
      </c>
    </row>
    <row r="42">
      <c r="H42" s="14">
        <f>IFERROR(F42*G42,"")</f>
        <v/>
      </c>
    </row>
    <row r="43">
      <c r="H43" s="14">
        <f>IFERROR(F43*G43,"")</f>
        <v/>
      </c>
    </row>
    <row r="44">
      <c r="H44" s="14">
        <f>IFERROR(F44*G44,"")</f>
        <v/>
      </c>
    </row>
    <row r="45">
      <c r="H45" s="14">
        <f>IFERROR(F45*G45,"")</f>
        <v/>
      </c>
    </row>
    <row r="46">
      <c r="H46" s="14">
        <f>IFERROR(F46*G46,"")</f>
        <v/>
      </c>
    </row>
    <row r="47">
      <c r="H47" s="14">
        <f>IFERROR(F47*G47,"")</f>
        <v/>
      </c>
    </row>
    <row r="48">
      <c r="H48" s="14">
        <f>IFERROR(F48*G48,"")</f>
        <v/>
      </c>
    </row>
    <row r="49">
      <c r="H49" s="14">
        <f>IFERROR(F49*G49,"")</f>
        <v/>
      </c>
    </row>
    <row r="50">
      <c r="H50" s="14">
        <f>IFERROR(F50*G50,"")</f>
        <v/>
      </c>
    </row>
    <row r="51">
      <c r="H51" s="14">
        <f>IFERROR(F51*G51,"")</f>
        <v/>
      </c>
    </row>
    <row r="52">
      <c r="H52" s="14">
        <f>IFERROR(F52*G52,"")</f>
        <v/>
      </c>
    </row>
    <row r="53">
      <c r="H53" s="14">
        <f>IFERROR(F53*G53,"")</f>
        <v/>
      </c>
    </row>
    <row r="54">
      <c r="H54" s="14">
        <f>IFERROR(F54*G54,"")</f>
        <v/>
      </c>
    </row>
    <row r="55">
      <c r="H55" s="14">
        <f>IFERROR(F55*G55,"")</f>
        <v/>
      </c>
    </row>
    <row r="56">
      <c r="H56" s="14">
        <f>IFERROR(F56*G56,"")</f>
        <v/>
      </c>
    </row>
    <row r="57">
      <c r="H57" s="14">
        <f>IFERROR(F57*G57,"")</f>
        <v/>
      </c>
    </row>
    <row r="58">
      <c r="H58" s="14">
        <f>IFERROR(F58*G58,"")</f>
        <v/>
      </c>
    </row>
    <row r="59">
      <c r="H59" s="14">
        <f>IFERROR(F59*G59,"")</f>
        <v/>
      </c>
    </row>
    <row r="60">
      <c r="H60" s="14">
        <f>IFERROR(F60*G60,"")</f>
        <v/>
      </c>
    </row>
    <row r="61">
      <c r="H61" s="14">
        <f>IFERROR(F61*G61,"")</f>
        <v/>
      </c>
    </row>
    <row r="62">
      <c r="H62" s="14">
        <f>IFERROR(F62*G62,"")</f>
        <v/>
      </c>
    </row>
    <row r="63">
      <c r="H63" s="14">
        <f>IFERROR(F63*G63,"")</f>
        <v/>
      </c>
    </row>
    <row r="64">
      <c r="H64" s="14">
        <f>IFERROR(F64*G64,"")</f>
        <v/>
      </c>
    </row>
    <row r="65">
      <c r="H65" s="14">
        <f>IFERROR(F65*G65,"")</f>
        <v/>
      </c>
    </row>
    <row r="66">
      <c r="H66" s="14">
        <f>IFERROR(F66*G66,"")</f>
        <v/>
      </c>
    </row>
    <row r="67">
      <c r="H67" s="14">
        <f>IFERROR(F67*G67,"")</f>
        <v/>
      </c>
    </row>
    <row r="68">
      <c r="H68" s="14">
        <f>IFERROR(F68*G68,"")</f>
        <v/>
      </c>
    </row>
    <row r="69">
      <c r="H69" s="14">
        <f>IFERROR(F69*G69,"")</f>
        <v/>
      </c>
    </row>
    <row r="70">
      <c r="H70" s="14">
        <f>IFERROR(F70*G70,"")</f>
        <v/>
      </c>
    </row>
    <row r="71">
      <c r="H71" s="14">
        <f>IFERROR(F71*G71,"")</f>
        <v/>
      </c>
    </row>
    <row r="72">
      <c r="H72" s="14">
        <f>IFERROR(F72*G72,"")</f>
        <v/>
      </c>
    </row>
    <row r="73">
      <c r="H73" s="14">
        <f>IFERROR(F73*G73,"")</f>
        <v/>
      </c>
    </row>
    <row r="74">
      <c r="H74" s="14">
        <f>IFERROR(F74*G74,"")</f>
        <v/>
      </c>
    </row>
    <row r="75">
      <c r="H75" s="14">
        <f>IFERROR(F75*G75,"")</f>
        <v/>
      </c>
    </row>
    <row r="76">
      <c r="H76" s="14">
        <f>IFERROR(F76*G76,"")</f>
        <v/>
      </c>
    </row>
    <row r="77">
      <c r="H77" s="14">
        <f>IFERROR(F77*G77,"")</f>
        <v/>
      </c>
    </row>
    <row r="78">
      <c r="H78" s="14">
        <f>IFERROR(F78*G78,"")</f>
        <v/>
      </c>
    </row>
    <row r="79">
      <c r="H79" s="14">
        <f>IFERROR(F79*G79,"")</f>
        <v/>
      </c>
    </row>
    <row r="80">
      <c r="H80" s="14">
        <f>IFERROR(F80*G80,"")</f>
        <v/>
      </c>
    </row>
    <row r="81">
      <c r="H81" s="14">
        <f>IFERROR(F81*G81,"")</f>
        <v/>
      </c>
    </row>
    <row r="82">
      <c r="H82" s="14">
        <f>IFERROR(F82*G82,"")</f>
        <v/>
      </c>
    </row>
    <row r="83">
      <c r="H83" s="14">
        <f>IFERROR(F83*G83,"")</f>
        <v/>
      </c>
    </row>
    <row r="84">
      <c r="H84" s="14">
        <f>IFERROR(F84*G84,"")</f>
        <v/>
      </c>
    </row>
    <row r="85">
      <c r="H85" s="14">
        <f>IFERROR(F85*G85,"")</f>
        <v/>
      </c>
    </row>
    <row r="86">
      <c r="H86" s="14">
        <f>IFERROR(F86*G86,"")</f>
        <v/>
      </c>
    </row>
    <row r="87">
      <c r="H87" s="14">
        <f>IFERROR(F87*G87,"")</f>
        <v/>
      </c>
    </row>
    <row r="88">
      <c r="H88" s="14">
        <f>IFERROR(F88*G88,"")</f>
        <v/>
      </c>
    </row>
    <row r="89">
      <c r="H89" s="14">
        <f>IFERROR(F89*G89,"")</f>
        <v/>
      </c>
    </row>
    <row r="90">
      <c r="H90" s="14">
        <f>IFERROR(F90*G90,"")</f>
        <v/>
      </c>
    </row>
    <row r="91">
      <c r="H91" s="14">
        <f>IFERROR(F91*G91,"")</f>
        <v/>
      </c>
    </row>
    <row r="92">
      <c r="H92" s="14">
        <f>IFERROR(F92*G92,"")</f>
        <v/>
      </c>
    </row>
    <row r="93">
      <c r="H93" s="14">
        <f>IFERROR(F93*G93,"")</f>
        <v/>
      </c>
    </row>
    <row r="94">
      <c r="H94" s="14">
        <f>IFERROR(F94*G94,"")</f>
        <v/>
      </c>
    </row>
    <row r="95">
      <c r="H95" s="14">
        <f>IFERROR(F95*G95,"")</f>
        <v/>
      </c>
    </row>
    <row r="96">
      <c r="H96" s="14">
        <f>IFERROR(F96*G96,"")</f>
        <v/>
      </c>
    </row>
    <row r="97">
      <c r="H97" s="14">
        <f>IFERROR(F97*G97,"")</f>
        <v/>
      </c>
    </row>
    <row r="98">
      <c r="H98" s="14">
        <f>IFERROR(F98*G98,"")</f>
        <v/>
      </c>
    </row>
    <row r="99">
      <c r="H99" s="14">
        <f>IFERROR(F99*G99,"")</f>
        <v/>
      </c>
    </row>
    <row r="100">
      <c r="H100" s="14">
        <f>IFERROR(F100*G100,"")</f>
        <v/>
      </c>
    </row>
    <row r="101">
      <c r="H101" s="14">
        <f>IFERROR(F101*G101,"")</f>
        <v/>
      </c>
    </row>
    <row r="102">
      <c r="H102" s="14">
        <f>IFERROR(F102*G102,"")</f>
        <v/>
      </c>
    </row>
    <row r="103">
      <c r="H103" s="14">
        <f>IFERROR(F103*G103,"")</f>
        <v/>
      </c>
    </row>
    <row r="104">
      <c r="H104" s="14">
        <f>IFERROR(F104*G104,"")</f>
        <v/>
      </c>
    </row>
    <row r="105">
      <c r="H105" s="14">
        <f>IFERROR(F105*G105,"")</f>
        <v/>
      </c>
    </row>
    <row r="106">
      <c r="H106" s="14">
        <f>IFERROR(F106*G106,"")</f>
        <v/>
      </c>
    </row>
    <row r="107">
      <c r="H107" s="14">
        <f>IFERROR(F107*G107,"")</f>
        <v/>
      </c>
    </row>
    <row r="108">
      <c r="H108" s="14">
        <f>IFERROR(F108*G108,"")</f>
        <v/>
      </c>
    </row>
    <row r="109">
      <c r="H109" s="14">
        <f>IFERROR(F109*G109,"")</f>
        <v/>
      </c>
    </row>
    <row r="110">
      <c r="H110" s="14">
        <f>IFERROR(F110*G110,"")</f>
        <v/>
      </c>
    </row>
    <row r="111">
      <c r="H111" s="14">
        <f>IFERROR(F111*G111,"")</f>
        <v/>
      </c>
    </row>
    <row r="112">
      <c r="H112" s="14">
        <f>IFERROR(F112*G112,"")</f>
        <v/>
      </c>
    </row>
    <row r="113">
      <c r="H113" s="14">
        <f>IFERROR(F113*G113,"")</f>
        <v/>
      </c>
    </row>
    <row r="114">
      <c r="H114" s="14">
        <f>IFERROR(F114*G114,"")</f>
        <v/>
      </c>
    </row>
    <row r="115">
      <c r="H115" s="14">
        <f>IFERROR(F115*G115,"")</f>
        <v/>
      </c>
    </row>
    <row r="116">
      <c r="H116" s="14">
        <f>IFERROR(F116*G116,"")</f>
        <v/>
      </c>
    </row>
    <row r="117">
      <c r="H117" s="14">
        <f>IFERROR(F117*G117,"")</f>
        <v/>
      </c>
    </row>
    <row r="118">
      <c r="H118" s="14">
        <f>IFERROR(F118*G118,"")</f>
        <v/>
      </c>
    </row>
    <row r="119">
      <c r="H119" s="14">
        <f>IFERROR(F119*G119,"")</f>
        <v/>
      </c>
    </row>
    <row r="120">
      <c r="H120" s="14">
        <f>IFERROR(F120*G120,"")</f>
        <v/>
      </c>
    </row>
    <row r="121">
      <c r="H121" s="14">
        <f>IFERROR(F121*G121,"")</f>
        <v/>
      </c>
    </row>
    <row r="122">
      <c r="H122" s="14">
        <f>IFERROR(F122*G122,"")</f>
        <v/>
      </c>
    </row>
    <row r="123">
      <c r="H123" s="14">
        <f>IFERROR(F123*G123,"")</f>
        <v/>
      </c>
    </row>
    <row r="124">
      <c r="H124" s="14">
        <f>IFERROR(F124*G124,"")</f>
        <v/>
      </c>
    </row>
    <row r="125">
      <c r="H125" s="14">
        <f>IFERROR(F125*G125,"")</f>
        <v/>
      </c>
    </row>
    <row r="126">
      <c r="H126" s="14">
        <f>IFERROR(F126*G126,"")</f>
        <v/>
      </c>
    </row>
    <row r="127">
      <c r="H127" s="14">
        <f>IFERROR(F127*G127,"")</f>
        <v/>
      </c>
    </row>
    <row r="128">
      <c r="H128" s="14">
        <f>IFERROR(F128*G128,"")</f>
        <v/>
      </c>
    </row>
    <row r="129">
      <c r="H129" s="14">
        <f>IFERROR(F129*G129,"")</f>
        <v/>
      </c>
    </row>
    <row r="130">
      <c r="H130" s="14">
        <f>IFERROR(F130*G130,"")</f>
        <v/>
      </c>
    </row>
    <row r="131">
      <c r="H131" s="14">
        <f>IFERROR(F131*G131,"")</f>
        <v/>
      </c>
    </row>
    <row r="132">
      <c r="H132" s="14">
        <f>IFERROR(F132*G132,"")</f>
        <v/>
      </c>
    </row>
    <row r="133">
      <c r="H133" s="14">
        <f>IFERROR(F133*G133,"")</f>
        <v/>
      </c>
    </row>
    <row r="134">
      <c r="H134" s="14">
        <f>IFERROR(F134*G134,"")</f>
        <v/>
      </c>
    </row>
    <row r="135">
      <c r="H135" s="14">
        <f>IFERROR(F135*G135,"")</f>
        <v/>
      </c>
    </row>
    <row r="136">
      <c r="H136" s="14">
        <f>IFERROR(F136*G136,"")</f>
        <v/>
      </c>
    </row>
    <row r="137">
      <c r="H137" s="14">
        <f>IFERROR(F137*G137,"")</f>
        <v/>
      </c>
    </row>
    <row r="138">
      <c r="H138" s="14">
        <f>IFERROR(F138*G138,"")</f>
        <v/>
      </c>
    </row>
    <row r="139">
      <c r="H139" s="14">
        <f>IFERROR(F139*G139,"")</f>
        <v/>
      </c>
    </row>
    <row r="140">
      <c r="H140" s="14">
        <f>IFERROR(F140*G140,"")</f>
        <v/>
      </c>
    </row>
    <row r="141">
      <c r="H141" s="14">
        <f>IFERROR(F141*G141,"")</f>
        <v/>
      </c>
    </row>
    <row r="142">
      <c r="H142" s="14">
        <f>IFERROR(F142*G142,"")</f>
        <v/>
      </c>
    </row>
    <row r="143">
      <c r="H143" s="14">
        <f>IFERROR(F143*G143,"")</f>
        <v/>
      </c>
    </row>
    <row r="144">
      <c r="H144" s="14">
        <f>IFERROR(F144*G144,"")</f>
        <v/>
      </c>
    </row>
    <row r="145">
      <c r="H145" s="14">
        <f>IFERROR(F145*G145,"")</f>
        <v/>
      </c>
    </row>
    <row r="146">
      <c r="H146" s="14">
        <f>IFERROR(F146*G146,"")</f>
        <v/>
      </c>
    </row>
    <row r="147">
      <c r="H147" s="14">
        <f>IFERROR(F147*G147,"")</f>
        <v/>
      </c>
    </row>
    <row r="148">
      <c r="H148" s="14">
        <f>IFERROR(F148*G148,"")</f>
        <v/>
      </c>
    </row>
    <row r="149">
      <c r="H149" s="14">
        <f>IFERROR(F149*G149,"")</f>
        <v/>
      </c>
    </row>
    <row r="150">
      <c r="H150" s="14">
        <f>IFERROR(F150*G150,"")</f>
        <v/>
      </c>
    </row>
    <row r="151">
      <c r="H151" s="14">
        <f>IFERROR(F151*G151,"")</f>
        <v/>
      </c>
    </row>
    <row r="152">
      <c r="H152" s="14">
        <f>IFERROR(F152*G152,"")</f>
        <v/>
      </c>
    </row>
    <row r="153">
      <c r="H153" s="14">
        <f>IFERROR(F153*G153,"")</f>
        <v/>
      </c>
    </row>
    <row r="154">
      <c r="H154" s="14">
        <f>IFERROR(F154*G154,"")</f>
        <v/>
      </c>
    </row>
    <row r="155">
      <c r="H155" s="14">
        <f>IFERROR(F155*G155,"")</f>
        <v/>
      </c>
    </row>
    <row r="156">
      <c r="H156" s="14">
        <f>IFERROR(F156*G156,"")</f>
        <v/>
      </c>
    </row>
    <row r="157">
      <c r="H157" s="14">
        <f>IFERROR(F157*G157,"")</f>
        <v/>
      </c>
    </row>
    <row r="158">
      <c r="H158" s="14">
        <f>IFERROR(F158*G158,"")</f>
        <v/>
      </c>
    </row>
    <row r="159">
      <c r="H159" s="14">
        <f>IFERROR(F159*G159,"")</f>
        <v/>
      </c>
    </row>
    <row r="160">
      <c r="H160" s="14">
        <f>IFERROR(F160*G160,"")</f>
        <v/>
      </c>
    </row>
    <row r="161">
      <c r="H161" s="14">
        <f>IFERROR(F161*G161,"")</f>
        <v/>
      </c>
    </row>
    <row r="162">
      <c r="H162" s="14">
        <f>IFERROR(F162*G162,"")</f>
        <v/>
      </c>
    </row>
    <row r="163">
      <c r="H163" s="14">
        <f>IFERROR(F163*G163,"")</f>
        <v/>
      </c>
    </row>
    <row r="164">
      <c r="H164" s="14">
        <f>IFERROR(F164*G164,"")</f>
        <v/>
      </c>
    </row>
    <row r="165">
      <c r="H165" s="14">
        <f>IFERROR(F165*G165,"")</f>
        <v/>
      </c>
    </row>
    <row r="166">
      <c r="H166" s="14">
        <f>IFERROR(F166*G166,"")</f>
        <v/>
      </c>
    </row>
    <row r="167">
      <c r="H167" s="14">
        <f>IFERROR(F167*G167,"")</f>
        <v/>
      </c>
    </row>
    <row r="168">
      <c r="H168" s="14">
        <f>IFERROR(F168*G168,"")</f>
        <v/>
      </c>
    </row>
    <row r="169">
      <c r="H169" s="14">
        <f>IFERROR(F169*G169,"")</f>
        <v/>
      </c>
    </row>
    <row r="170">
      <c r="H170" s="14">
        <f>IFERROR(F170*G170,"")</f>
        <v/>
      </c>
    </row>
    <row r="171">
      <c r="H171" s="14">
        <f>IFERROR(F171*G171,"")</f>
        <v/>
      </c>
    </row>
    <row r="172">
      <c r="H172" s="14">
        <f>IFERROR(F172*G172,"")</f>
        <v/>
      </c>
    </row>
    <row r="173">
      <c r="H173" s="14">
        <f>IFERROR(F173*G173,"")</f>
        <v/>
      </c>
    </row>
    <row r="174">
      <c r="H174" s="14">
        <f>IFERROR(F174*G174,"")</f>
        <v/>
      </c>
    </row>
    <row r="175">
      <c r="H175" s="14">
        <f>IFERROR(F175*G175,"")</f>
        <v/>
      </c>
    </row>
    <row r="176">
      <c r="H176" s="14">
        <f>IFERROR(F176*G176,"")</f>
        <v/>
      </c>
    </row>
    <row r="177">
      <c r="H177" s="14">
        <f>IFERROR(F177*G177,"")</f>
        <v/>
      </c>
    </row>
    <row r="178">
      <c r="H178" s="14">
        <f>IFERROR(F178*G178,"")</f>
        <v/>
      </c>
    </row>
    <row r="179">
      <c r="H179" s="14">
        <f>IFERROR(F179*G179,"")</f>
        <v/>
      </c>
    </row>
    <row r="180">
      <c r="H180" s="14">
        <f>IFERROR(F180*G180,"")</f>
        <v/>
      </c>
    </row>
    <row r="181">
      <c r="H181" s="14">
        <f>IFERROR(F181*G181,"")</f>
        <v/>
      </c>
    </row>
    <row r="182">
      <c r="H182" s="14">
        <f>IFERROR(F182*G182,"")</f>
        <v/>
      </c>
    </row>
    <row r="183">
      <c r="H183" s="14">
        <f>IFERROR(F183*G183,"")</f>
        <v/>
      </c>
    </row>
    <row r="184">
      <c r="H184" s="14">
        <f>IFERROR(F184*G184,"")</f>
        <v/>
      </c>
    </row>
    <row r="185">
      <c r="H185" s="14">
        <f>IFERROR(F185*G185,"")</f>
        <v/>
      </c>
    </row>
    <row r="186">
      <c r="H186" s="14">
        <f>IFERROR(F186*G186,"")</f>
        <v/>
      </c>
    </row>
    <row r="187">
      <c r="H187" s="14">
        <f>IFERROR(F187*G187,"")</f>
        <v/>
      </c>
    </row>
    <row r="188">
      <c r="H188" s="14">
        <f>IFERROR(F188*G188,"")</f>
        <v/>
      </c>
    </row>
    <row r="189">
      <c r="H189" s="14">
        <f>IFERROR(F189*G189,"")</f>
        <v/>
      </c>
    </row>
    <row r="190">
      <c r="H190" s="14">
        <f>IFERROR(F190*G190,"")</f>
        <v/>
      </c>
    </row>
    <row r="191">
      <c r="H191" s="14">
        <f>IFERROR(F191*G191,"")</f>
        <v/>
      </c>
    </row>
    <row r="192">
      <c r="H192" s="14">
        <f>IFERROR(F192*G192,"")</f>
        <v/>
      </c>
    </row>
    <row r="193">
      <c r="H193" s="14">
        <f>IFERROR(F193*G193,"")</f>
        <v/>
      </c>
    </row>
    <row r="194">
      <c r="H194" s="14">
        <f>IFERROR(F194*G194,"")</f>
        <v/>
      </c>
    </row>
    <row r="195">
      <c r="H195" s="14">
        <f>IFERROR(F195*G195,"")</f>
        <v/>
      </c>
    </row>
    <row r="196">
      <c r="H196" s="14">
        <f>IFERROR(F196*G196,"")</f>
        <v/>
      </c>
    </row>
    <row r="197">
      <c r="H197" s="14">
        <f>IFERROR(F197*G197,"")</f>
        <v/>
      </c>
    </row>
    <row r="198">
      <c r="H198" s="14">
        <f>IFERROR(F198*G198,"")</f>
        <v/>
      </c>
    </row>
    <row r="199">
      <c r="H199" s="14">
        <f>IFERROR(F199*G199,"")</f>
        <v/>
      </c>
    </row>
    <row r="200">
      <c r="H200" s="14">
        <f>IFERROR(F200*G200,"")</f>
        <v/>
      </c>
    </row>
    <row r="201">
      <c r="H201" s="14">
        <f>IFERROR(F201*G201,"")</f>
        <v/>
      </c>
    </row>
    <row r="202">
      <c r="H202" s="14">
        <f>IFERROR(F202*G202,"")</f>
        <v/>
      </c>
    </row>
    <row r="203">
      <c r="H203" s="14">
        <f>IFERROR(F203*G203,"")</f>
        <v/>
      </c>
    </row>
    <row r="204">
      <c r="H204" s="14">
        <f>IFERROR(F204*G204,"")</f>
        <v/>
      </c>
    </row>
    <row r="205">
      <c r="H205" s="14">
        <f>IFERROR(F205*G205,"")</f>
        <v/>
      </c>
    </row>
    <row r="206">
      <c r="H206" s="14">
        <f>IFERROR(F206*G206,"")</f>
        <v/>
      </c>
    </row>
    <row r="207">
      <c r="H207" s="14">
        <f>IFERROR(F207*G207,"")</f>
        <v/>
      </c>
    </row>
    <row r="208">
      <c r="H208" s="14">
        <f>IFERROR(F208*G208,"")</f>
        <v/>
      </c>
    </row>
    <row r="209">
      <c r="H209" s="14">
        <f>IFERROR(F209*G209,"")</f>
        <v/>
      </c>
    </row>
    <row r="210">
      <c r="H210" s="14">
        <f>IFERROR(F210*G210,"")</f>
        <v/>
      </c>
    </row>
    <row r="211">
      <c r="H211" s="14">
        <f>IFERROR(F211*G211,"")</f>
        <v/>
      </c>
    </row>
    <row r="212">
      <c r="H212" s="14">
        <f>IFERROR(F212*G212,"")</f>
        <v/>
      </c>
    </row>
    <row r="213">
      <c r="H213" s="14">
        <f>IFERROR(F213*G213,"")</f>
        <v/>
      </c>
    </row>
    <row r="214">
      <c r="H214" s="14">
        <f>IFERROR(F214*G214,"")</f>
        <v/>
      </c>
    </row>
    <row r="215">
      <c r="H215" s="14">
        <f>IFERROR(F215*G215,"")</f>
        <v/>
      </c>
    </row>
    <row r="216">
      <c r="H216" s="14">
        <f>IFERROR(F216*G216,"")</f>
        <v/>
      </c>
    </row>
    <row r="217">
      <c r="H217" s="14">
        <f>IFERROR(F217*G217,"")</f>
        <v/>
      </c>
    </row>
    <row r="218">
      <c r="H218" s="14">
        <f>IFERROR(F218*G218,"")</f>
        <v/>
      </c>
    </row>
    <row r="219">
      <c r="H219" s="14">
        <f>IFERROR(F219*G219,"")</f>
        <v/>
      </c>
    </row>
    <row r="220">
      <c r="H220" s="14">
        <f>IFERROR(F220*G220,"")</f>
        <v/>
      </c>
    </row>
    <row r="221">
      <c r="H221" s="14">
        <f>IFERROR(F221*G221,"")</f>
        <v/>
      </c>
    </row>
    <row r="222">
      <c r="H222" s="14">
        <f>IFERROR(F222*G222,"")</f>
        <v/>
      </c>
    </row>
    <row r="223">
      <c r="H223" s="14">
        <f>IFERROR(F223*G223,"")</f>
        <v/>
      </c>
    </row>
    <row r="224">
      <c r="H224" s="14">
        <f>IFERROR(F224*G224,"")</f>
        <v/>
      </c>
    </row>
    <row r="225">
      <c r="H225" s="14">
        <f>IFERROR(F225*G225,"")</f>
        <v/>
      </c>
    </row>
    <row r="226">
      <c r="H226" s="14">
        <f>IFERROR(F226*G226,"")</f>
        <v/>
      </c>
    </row>
    <row r="227">
      <c r="H227" s="14">
        <f>IFERROR(F227*G227,"")</f>
        <v/>
      </c>
    </row>
    <row r="228">
      <c r="H228" s="14">
        <f>IFERROR(F228*G228,"")</f>
        <v/>
      </c>
    </row>
    <row r="229">
      <c r="H229" s="14">
        <f>IFERROR(F229*G229,"")</f>
        <v/>
      </c>
    </row>
    <row r="230">
      <c r="H230" s="14">
        <f>IFERROR(F230*G230,"")</f>
        <v/>
      </c>
    </row>
    <row r="231">
      <c r="H231" s="14">
        <f>IFERROR(F231*G231,"")</f>
        <v/>
      </c>
    </row>
    <row r="232">
      <c r="H232" s="14">
        <f>IFERROR(F232*G232,"")</f>
        <v/>
      </c>
    </row>
    <row r="233">
      <c r="H233" s="14">
        <f>IFERROR(F233*G233,"")</f>
        <v/>
      </c>
    </row>
    <row r="234">
      <c r="H234" s="14">
        <f>IFERROR(F234*G234,"")</f>
        <v/>
      </c>
    </row>
    <row r="235">
      <c r="H235" s="14">
        <f>IFERROR(F235*G235,"")</f>
        <v/>
      </c>
    </row>
    <row r="236">
      <c r="H236" s="14">
        <f>IFERROR(F236*G236,"")</f>
        <v/>
      </c>
    </row>
    <row r="237">
      <c r="H237" s="14">
        <f>IFERROR(F237*G237,"")</f>
        <v/>
      </c>
    </row>
    <row r="238">
      <c r="H238" s="14">
        <f>IFERROR(F238*G238,"")</f>
        <v/>
      </c>
    </row>
    <row r="239">
      <c r="H239" s="14">
        <f>IFERROR(F239*G239,"")</f>
        <v/>
      </c>
    </row>
    <row r="240">
      <c r="H240" s="14">
        <f>IFERROR(F240*G240,"")</f>
        <v/>
      </c>
    </row>
    <row r="241">
      <c r="H241" s="14">
        <f>IFERROR(F241*G241,"")</f>
        <v/>
      </c>
    </row>
    <row r="242">
      <c r="H242" s="14">
        <f>IFERROR(F242*G242,"")</f>
        <v/>
      </c>
    </row>
    <row r="243">
      <c r="H243" s="14">
        <f>IFERROR(F243*G243,"")</f>
        <v/>
      </c>
    </row>
    <row r="244">
      <c r="H244" s="14">
        <f>IFERROR(F244*G244,"")</f>
        <v/>
      </c>
    </row>
    <row r="245">
      <c r="H245" s="14">
        <f>IFERROR(F245*G245,"")</f>
        <v/>
      </c>
    </row>
    <row r="246">
      <c r="H246" s="14">
        <f>IFERROR(F246*G246,"")</f>
        <v/>
      </c>
    </row>
    <row r="247">
      <c r="H247" s="14">
        <f>IFERROR(F247*G247,"")</f>
        <v/>
      </c>
    </row>
    <row r="248">
      <c r="H248" s="14">
        <f>IFERROR(F248*G248,"")</f>
        <v/>
      </c>
    </row>
    <row r="249">
      <c r="H249" s="14">
        <f>IFERROR(F249*G249,"")</f>
        <v/>
      </c>
    </row>
    <row r="250">
      <c r="H250" s="14">
        <f>IFERROR(F250*G250,"")</f>
        <v/>
      </c>
    </row>
    <row r="251">
      <c r="H251" s="14">
        <f>IFERROR(F251*G251,"")</f>
        <v/>
      </c>
    </row>
    <row r="252">
      <c r="H252" s="14">
        <f>IFERROR(F252*G252,"")</f>
        <v/>
      </c>
    </row>
    <row r="253">
      <c r="H253" s="14">
        <f>IFERROR(F253*G253,"")</f>
        <v/>
      </c>
    </row>
    <row r="254">
      <c r="H254" s="14">
        <f>IFERROR(F254*G254,"")</f>
        <v/>
      </c>
    </row>
    <row r="255">
      <c r="H255" s="14">
        <f>IFERROR(F255*G255,"")</f>
        <v/>
      </c>
    </row>
    <row r="256">
      <c r="H256" s="14">
        <f>IFERROR(F256*G256,"")</f>
        <v/>
      </c>
    </row>
    <row r="257">
      <c r="H257" s="14">
        <f>IFERROR(F257*G257,"")</f>
        <v/>
      </c>
    </row>
    <row r="258">
      <c r="H258" s="14">
        <f>IFERROR(F258*G258,"")</f>
        <v/>
      </c>
    </row>
    <row r="259">
      <c r="H259" s="14">
        <f>IFERROR(F259*G259,"")</f>
        <v/>
      </c>
    </row>
    <row r="260">
      <c r="H260" s="14">
        <f>IFERROR(F260*G260,"")</f>
        <v/>
      </c>
    </row>
    <row r="261">
      <c r="H261" s="14">
        <f>IFERROR(F261*G261,"")</f>
        <v/>
      </c>
    </row>
    <row r="262">
      <c r="H262" s="14">
        <f>IFERROR(F262*G262,"")</f>
        <v/>
      </c>
    </row>
    <row r="263">
      <c r="H263" s="14">
        <f>IFERROR(F263*G263,"")</f>
        <v/>
      </c>
    </row>
    <row r="264">
      <c r="H264" s="14">
        <f>IFERROR(F264*G264,"")</f>
        <v/>
      </c>
    </row>
    <row r="265">
      <c r="H265" s="14">
        <f>IFERROR(F265*G265,"")</f>
        <v/>
      </c>
    </row>
    <row r="266">
      <c r="H266" s="14">
        <f>IFERROR(F266*G266,"")</f>
        <v/>
      </c>
    </row>
    <row r="267">
      <c r="H267" s="14">
        <f>IFERROR(F267*G267,"")</f>
        <v/>
      </c>
    </row>
    <row r="268">
      <c r="H268" s="14">
        <f>IFERROR(F268*G268,"")</f>
        <v/>
      </c>
    </row>
    <row r="269">
      <c r="H269" s="14">
        <f>IFERROR(F269*G269,"")</f>
        <v/>
      </c>
    </row>
    <row r="270">
      <c r="H270" s="14">
        <f>IFERROR(F270*G270,"")</f>
        <v/>
      </c>
    </row>
    <row r="271">
      <c r="H271" s="14">
        <f>IFERROR(F271*G271,"")</f>
        <v/>
      </c>
    </row>
    <row r="272">
      <c r="H272" s="14">
        <f>IFERROR(F272*G272,"")</f>
        <v/>
      </c>
    </row>
    <row r="273">
      <c r="H273" s="14">
        <f>IFERROR(F273*G273,"")</f>
        <v/>
      </c>
    </row>
    <row r="274">
      <c r="H274" s="14">
        <f>IFERROR(F274*G274,"")</f>
        <v/>
      </c>
    </row>
    <row r="275">
      <c r="H275" s="14">
        <f>IFERROR(F275*G275,"")</f>
        <v/>
      </c>
    </row>
    <row r="276">
      <c r="H276" s="14">
        <f>IFERROR(F276*G276,"")</f>
        <v/>
      </c>
    </row>
    <row r="277">
      <c r="H277" s="14">
        <f>IFERROR(F277*G277,"")</f>
        <v/>
      </c>
    </row>
    <row r="278">
      <c r="H278" s="14">
        <f>IFERROR(F278*G278,"")</f>
        <v/>
      </c>
    </row>
    <row r="279">
      <c r="H279" s="14">
        <f>IFERROR(F279*G279,"")</f>
        <v/>
      </c>
    </row>
    <row r="280">
      <c r="H280" s="14">
        <f>IFERROR(F280*G280,"")</f>
        <v/>
      </c>
    </row>
    <row r="281">
      <c r="H281" s="14">
        <f>IFERROR(F281*G281,"")</f>
        <v/>
      </c>
    </row>
    <row r="282">
      <c r="H282" s="14">
        <f>IFERROR(F282*G282,"")</f>
        <v/>
      </c>
    </row>
    <row r="283">
      <c r="H283" s="14">
        <f>IFERROR(F283*G283,"")</f>
        <v/>
      </c>
    </row>
    <row r="284">
      <c r="H284" s="14">
        <f>IFERROR(F284*G284,"")</f>
        <v/>
      </c>
    </row>
    <row r="285">
      <c r="H285" s="14">
        <f>IFERROR(F285*G285,"")</f>
        <v/>
      </c>
    </row>
    <row r="286">
      <c r="H286" s="14">
        <f>IFERROR(F286*G286,"")</f>
        <v/>
      </c>
    </row>
    <row r="287">
      <c r="H287" s="14">
        <f>IFERROR(F287*G287,"")</f>
        <v/>
      </c>
    </row>
    <row r="288">
      <c r="H288" s="14">
        <f>IFERROR(F288*G288,"")</f>
        <v/>
      </c>
    </row>
    <row r="289">
      <c r="H289" s="14">
        <f>IFERROR(F289*G289,"")</f>
        <v/>
      </c>
    </row>
    <row r="290">
      <c r="H290" s="14">
        <f>IFERROR(F290*G290,"")</f>
        <v/>
      </c>
    </row>
    <row r="291">
      <c r="H291" s="14">
        <f>IFERROR(F291*G291,"")</f>
        <v/>
      </c>
    </row>
    <row r="292">
      <c r="H292" s="14">
        <f>IFERROR(F292*G292,"")</f>
        <v/>
      </c>
    </row>
    <row r="293">
      <c r="H293" s="14">
        <f>IFERROR(F293*G293,"")</f>
        <v/>
      </c>
    </row>
    <row r="294">
      <c r="H294" s="14">
        <f>IFERROR(F294*G294,"")</f>
        <v/>
      </c>
    </row>
    <row r="295">
      <c r="H295" s="14">
        <f>IFERROR(F295*G295,"")</f>
        <v/>
      </c>
    </row>
    <row r="296">
      <c r="H296" s="14">
        <f>IFERROR(F296*G296,"")</f>
        <v/>
      </c>
    </row>
    <row r="297">
      <c r="H297" s="14">
        <f>IFERROR(F297*G297,"")</f>
        <v/>
      </c>
    </row>
    <row r="298">
      <c r="H298" s="14">
        <f>IFERROR(F298*G298,"")</f>
        <v/>
      </c>
    </row>
    <row r="299">
      <c r="H299" s="14">
        <f>IFERROR(F299*G299,"")</f>
        <v/>
      </c>
    </row>
    <row r="300">
      <c r="H300" s="14">
        <f>IFERROR(F300*G300,"")</f>
        <v/>
      </c>
    </row>
    <row r="301">
      <c r="H301" s="14">
        <f>IFERROR(F301*G301,"")</f>
        <v/>
      </c>
    </row>
    <row r="302">
      <c r="H302" s="14">
        <f>IFERROR(F302*G302,"")</f>
        <v/>
      </c>
    </row>
    <row r="303">
      <c r="H303" s="14">
        <f>IFERROR(F303*G303,"")</f>
        <v/>
      </c>
    </row>
    <row r="304">
      <c r="H304" s="14">
        <f>IFERROR(F304*G304,"")</f>
        <v/>
      </c>
    </row>
    <row r="305">
      <c r="H305" s="14">
        <f>IFERROR(F305*G305,"")</f>
        <v/>
      </c>
    </row>
    <row r="306">
      <c r="H306" s="14">
        <f>IFERROR(F306*G306,"")</f>
        <v/>
      </c>
    </row>
    <row r="307">
      <c r="H307" s="14">
        <f>IFERROR(F307*G307,"")</f>
        <v/>
      </c>
    </row>
    <row r="308">
      <c r="H308" s="14">
        <f>IFERROR(F308*G308,"")</f>
        <v/>
      </c>
    </row>
    <row r="309">
      <c r="H309" s="14">
        <f>IFERROR(F309*G309,"")</f>
        <v/>
      </c>
    </row>
    <row r="310">
      <c r="H310" s="14">
        <f>IFERROR(F310*G310,"")</f>
        <v/>
      </c>
    </row>
    <row r="311">
      <c r="H311" s="14">
        <f>IFERROR(F311*G311,"")</f>
        <v/>
      </c>
    </row>
    <row r="312">
      <c r="H312" s="14">
        <f>IFERROR(F312*G312,"")</f>
        <v/>
      </c>
    </row>
    <row r="313">
      <c r="H313" s="14">
        <f>IFERROR(F313*G313,"")</f>
        <v/>
      </c>
    </row>
    <row r="314">
      <c r="H314" s="14">
        <f>IFERROR(F314*G314,"")</f>
        <v/>
      </c>
    </row>
    <row r="315">
      <c r="H315" s="14">
        <f>IFERROR(F315*G315,"")</f>
        <v/>
      </c>
    </row>
    <row r="316">
      <c r="H316" s="14">
        <f>IFERROR(F316*G316,"")</f>
        <v/>
      </c>
    </row>
    <row r="317">
      <c r="H317" s="14">
        <f>IFERROR(F317*G317,"")</f>
        <v/>
      </c>
    </row>
    <row r="318">
      <c r="H318" s="14">
        <f>IFERROR(F318*G318,"")</f>
        <v/>
      </c>
    </row>
    <row r="319">
      <c r="H319" s="14">
        <f>IFERROR(F319*G319,"")</f>
        <v/>
      </c>
    </row>
    <row r="320">
      <c r="H320" s="14">
        <f>IFERROR(F320*G320,"")</f>
        <v/>
      </c>
    </row>
    <row r="321">
      <c r="H321" s="14">
        <f>IFERROR(F321*G321,"")</f>
        <v/>
      </c>
    </row>
    <row r="322">
      <c r="H322" s="14">
        <f>IFERROR(F322*G322,"")</f>
        <v/>
      </c>
    </row>
    <row r="323">
      <c r="H323" s="14">
        <f>IFERROR(F323*G323,"")</f>
        <v/>
      </c>
    </row>
    <row r="324">
      <c r="H324" s="14">
        <f>IFERROR(F324*G324,"")</f>
        <v/>
      </c>
    </row>
    <row r="325">
      <c r="H325" s="14">
        <f>IFERROR(F325*G325,"")</f>
        <v/>
      </c>
    </row>
    <row r="326">
      <c r="H326" s="14">
        <f>IFERROR(F326*G326,"")</f>
        <v/>
      </c>
    </row>
    <row r="327">
      <c r="H327" s="14">
        <f>IFERROR(F327*G327,"")</f>
        <v/>
      </c>
    </row>
    <row r="328">
      <c r="H328" s="14">
        <f>IFERROR(F328*G328,"")</f>
        <v/>
      </c>
    </row>
    <row r="329">
      <c r="H329" s="14">
        <f>IFERROR(F329*G329,"")</f>
        <v/>
      </c>
    </row>
    <row r="330">
      <c r="H330" s="14">
        <f>IFERROR(F330*G330,"")</f>
        <v/>
      </c>
    </row>
    <row r="331">
      <c r="H331" s="14">
        <f>IFERROR(F331*G331,"")</f>
        <v/>
      </c>
    </row>
    <row r="332">
      <c r="H332" s="14">
        <f>IFERROR(F332*G332,"")</f>
        <v/>
      </c>
    </row>
    <row r="333">
      <c r="H333" s="14">
        <f>IFERROR(F333*G333,"")</f>
        <v/>
      </c>
    </row>
    <row r="334">
      <c r="H334" s="14">
        <f>IFERROR(F334*G334,"")</f>
        <v/>
      </c>
    </row>
    <row r="335">
      <c r="H335" s="14">
        <f>IFERROR(F335*G335,"")</f>
        <v/>
      </c>
    </row>
    <row r="336">
      <c r="H336" s="14">
        <f>IFERROR(F336*G336,"")</f>
        <v/>
      </c>
    </row>
    <row r="337">
      <c r="H337" s="14">
        <f>IFERROR(F337*G337,"")</f>
        <v/>
      </c>
    </row>
    <row r="338">
      <c r="H338" s="14">
        <f>IFERROR(F338*G338,"")</f>
        <v/>
      </c>
    </row>
    <row r="339">
      <c r="H339" s="14">
        <f>IFERROR(F339*G339,"")</f>
        <v/>
      </c>
    </row>
    <row r="340">
      <c r="H340" s="14">
        <f>IFERROR(F340*G340,"")</f>
        <v/>
      </c>
    </row>
    <row r="341">
      <c r="H341" s="14">
        <f>IFERROR(F341*G341,"")</f>
        <v/>
      </c>
    </row>
    <row r="342">
      <c r="H342" s="14">
        <f>IFERROR(F342*G342,"")</f>
        <v/>
      </c>
    </row>
    <row r="343">
      <c r="H343" s="14">
        <f>IFERROR(F343*G343,"")</f>
        <v/>
      </c>
    </row>
    <row r="344">
      <c r="H344" s="14">
        <f>IFERROR(F344*G344,"")</f>
        <v/>
      </c>
    </row>
    <row r="345">
      <c r="H345" s="14">
        <f>IFERROR(F345*G345,"")</f>
        <v/>
      </c>
    </row>
    <row r="346">
      <c r="H346" s="14">
        <f>IFERROR(F346*G346,"")</f>
        <v/>
      </c>
    </row>
    <row r="347">
      <c r="H347" s="14">
        <f>IFERROR(F347*G347,"")</f>
        <v/>
      </c>
    </row>
    <row r="348">
      <c r="H348" s="14">
        <f>IFERROR(F348*G348,"")</f>
        <v/>
      </c>
    </row>
    <row r="349">
      <c r="H349" s="14">
        <f>IFERROR(F349*G349,"")</f>
        <v/>
      </c>
    </row>
    <row r="350">
      <c r="H350" s="14">
        <f>IFERROR(F350*G350,"")</f>
        <v/>
      </c>
    </row>
    <row r="351">
      <c r="H351" s="14">
        <f>IFERROR(F351*G351,"")</f>
        <v/>
      </c>
    </row>
    <row r="352">
      <c r="H352" s="14">
        <f>IFERROR(F352*G352,"")</f>
        <v/>
      </c>
    </row>
    <row r="353">
      <c r="H353" s="14">
        <f>IFERROR(F353*G353,"")</f>
        <v/>
      </c>
    </row>
    <row r="354">
      <c r="H354" s="14">
        <f>IFERROR(F354*G354,"")</f>
        <v/>
      </c>
    </row>
    <row r="355">
      <c r="H355" s="14">
        <f>IFERROR(F355*G355,"")</f>
        <v/>
      </c>
    </row>
    <row r="356">
      <c r="H356" s="14">
        <f>IFERROR(F356*G356,"")</f>
        <v/>
      </c>
    </row>
    <row r="357">
      <c r="H357" s="14">
        <f>IFERROR(F357*G357,"")</f>
        <v/>
      </c>
    </row>
    <row r="358">
      <c r="H358" s="14">
        <f>IFERROR(F358*G358,"")</f>
        <v/>
      </c>
    </row>
    <row r="359">
      <c r="H359" s="14">
        <f>IFERROR(F359*G359,"")</f>
        <v/>
      </c>
    </row>
    <row r="360">
      <c r="H360" s="14">
        <f>IFERROR(F360*G360,"")</f>
        <v/>
      </c>
    </row>
    <row r="361">
      <c r="H361" s="14">
        <f>IFERROR(F361*G361,"")</f>
        <v/>
      </c>
    </row>
    <row r="362">
      <c r="H362" s="14">
        <f>IFERROR(F362*G362,"")</f>
        <v/>
      </c>
    </row>
    <row r="363">
      <c r="H363" s="14">
        <f>IFERROR(F363*G363,"")</f>
        <v/>
      </c>
    </row>
    <row r="364">
      <c r="H364" s="14">
        <f>IFERROR(F364*G364,"")</f>
        <v/>
      </c>
    </row>
    <row r="365">
      <c r="H365" s="14">
        <f>IFERROR(F365*G365,"")</f>
        <v/>
      </c>
    </row>
    <row r="366">
      <c r="H366" s="14">
        <f>IFERROR(F366*G366,"")</f>
        <v/>
      </c>
    </row>
    <row r="367">
      <c r="H367" s="14">
        <f>IFERROR(F367*G367,"")</f>
        <v/>
      </c>
    </row>
    <row r="368">
      <c r="H368" s="14">
        <f>IFERROR(F368*G368,"")</f>
        <v/>
      </c>
    </row>
    <row r="369">
      <c r="H369" s="14">
        <f>IFERROR(F369*G369,"")</f>
        <v/>
      </c>
    </row>
    <row r="370">
      <c r="H370" s="14">
        <f>IFERROR(F370*G370,"")</f>
        <v/>
      </c>
    </row>
    <row r="371">
      <c r="H371" s="14">
        <f>IFERROR(F371*G371,"")</f>
        <v/>
      </c>
    </row>
    <row r="372">
      <c r="H372" s="14">
        <f>IFERROR(F372*G372,"")</f>
        <v/>
      </c>
    </row>
    <row r="373">
      <c r="H373" s="14">
        <f>IFERROR(F373*G373,"")</f>
        <v/>
      </c>
    </row>
    <row r="374">
      <c r="H374" s="14">
        <f>IFERROR(F374*G374,"")</f>
        <v/>
      </c>
    </row>
    <row r="375">
      <c r="H375" s="14">
        <f>IFERROR(F375*G375,"")</f>
        <v/>
      </c>
    </row>
    <row r="376">
      <c r="H376" s="14">
        <f>IFERROR(F376*G376,"")</f>
        <v/>
      </c>
    </row>
    <row r="377">
      <c r="H377" s="14">
        <f>IFERROR(F377*G377,"")</f>
        <v/>
      </c>
    </row>
    <row r="378">
      <c r="H378" s="14">
        <f>IFERROR(F378*G378,"")</f>
        <v/>
      </c>
    </row>
    <row r="379">
      <c r="H379" s="14">
        <f>IFERROR(F379*G379,"")</f>
        <v/>
      </c>
    </row>
    <row r="380">
      <c r="H380" s="14">
        <f>IFERROR(F380*G380,"")</f>
        <v/>
      </c>
    </row>
    <row r="381">
      <c r="H381" s="14">
        <f>IFERROR(F381*G381,"")</f>
        <v/>
      </c>
    </row>
    <row r="382">
      <c r="H382" s="14">
        <f>IFERROR(F382*G382,"")</f>
        <v/>
      </c>
    </row>
    <row r="383">
      <c r="H383" s="14">
        <f>IFERROR(F383*G383,"")</f>
        <v/>
      </c>
    </row>
    <row r="384">
      <c r="H384" s="14">
        <f>IFERROR(F384*G384,"")</f>
        <v/>
      </c>
    </row>
    <row r="385">
      <c r="H385" s="14">
        <f>IFERROR(F385*G385,"")</f>
        <v/>
      </c>
    </row>
    <row r="386">
      <c r="H386" s="14">
        <f>IFERROR(F386*G386,"")</f>
        <v/>
      </c>
    </row>
    <row r="387">
      <c r="H387" s="14">
        <f>IFERROR(F387*G387,"")</f>
        <v/>
      </c>
    </row>
    <row r="388">
      <c r="H388" s="14">
        <f>IFERROR(F388*G388,"")</f>
        <v/>
      </c>
    </row>
    <row r="389">
      <c r="H389" s="14">
        <f>IFERROR(F389*G389,"")</f>
        <v/>
      </c>
    </row>
    <row r="390">
      <c r="H390" s="14">
        <f>IFERROR(F390*G390,"")</f>
        <v/>
      </c>
    </row>
    <row r="391">
      <c r="H391" s="14">
        <f>IFERROR(F391*G391,"")</f>
        <v/>
      </c>
    </row>
    <row r="392">
      <c r="H392" s="14">
        <f>IFERROR(F392*G392,"")</f>
        <v/>
      </c>
    </row>
    <row r="393">
      <c r="H393" s="14">
        <f>IFERROR(F393*G393,"")</f>
        <v/>
      </c>
    </row>
    <row r="394">
      <c r="H394" s="14">
        <f>IFERROR(F394*G394,"")</f>
        <v/>
      </c>
    </row>
    <row r="395">
      <c r="H395" s="14">
        <f>IFERROR(F395*G395,"")</f>
        <v/>
      </c>
    </row>
    <row r="396">
      <c r="H396" s="14">
        <f>IFERROR(F396*G396,"")</f>
        <v/>
      </c>
    </row>
    <row r="397">
      <c r="H397" s="14">
        <f>IFERROR(F397*G397,"")</f>
        <v/>
      </c>
    </row>
    <row r="398">
      <c r="H398" s="14">
        <f>IFERROR(F398*G398,"")</f>
        <v/>
      </c>
    </row>
    <row r="399">
      <c r="H399" s="14">
        <f>IFERROR(F399*G399,"")</f>
        <v/>
      </c>
    </row>
    <row r="400">
      <c r="H400" s="14">
        <f>IFERROR(F400*G400,"")</f>
        <v/>
      </c>
    </row>
    <row r="401">
      <c r="H401" s="14">
        <f>IFERROR(F401*G401,"")</f>
        <v/>
      </c>
    </row>
    <row r="402">
      <c r="H402" s="14">
        <f>IFERROR(F402*G402,"")</f>
        <v/>
      </c>
    </row>
    <row r="403">
      <c r="H403" s="14">
        <f>IFERROR(F403*G403,"")</f>
        <v/>
      </c>
    </row>
    <row r="404">
      <c r="H404" s="14">
        <f>IFERROR(F404*G404,"")</f>
        <v/>
      </c>
    </row>
    <row r="405">
      <c r="H405" s="14">
        <f>IFERROR(F405*G405,"")</f>
        <v/>
      </c>
    </row>
    <row r="406">
      <c r="H406" s="14">
        <f>IFERROR(F406*G406,"")</f>
        <v/>
      </c>
    </row>
    <row r="407">
      <c r="H407" s="14">
        <f>IFERROR(F407*G407,"")</f>
        <v/>
      </c>
    </row>
    <row r="408">
      <c r="H408" s="14">
        <f>IFERROR(F408*G408,"")</f>
        <v/>
      </c>
    </row>
    <row r="409">
      <c r="H409" s="14">
        <f>IFERROR(F409*G409,"")</f>
        <v/>
      </c>
    </row>
    <row r="410">
      <c r="H410" s="14">
        <f>IFERROR(F410*G410,"")</f>
        <v/>
      </c>
    </row>
    <row r="411">
      <c r="H411" s="14">
        <f>IFERROR(F411*G411,"")</f>
        <v/>
      </c>
    </row>
    <row r="412">
      <c r="H412" s="14">
        <f>IFERROR(F412*G412,"")</f>
        <v/>
      </c>
    </row>
    <row r="413">
      <c r="H413" s="14">
        <f>IFERROR(F413*G413,"")</f>
        <v/>
      </c>
    </row>
    <row r="414">
      <c r="H414" s="14">
        <f>IFERROR(F414*G414,"")</f>
        <v/>
      </c>
    </row>
    <row r="415">
      <c r="H415" s="14">
        <f>IFERROR(F415*G415,"")</f>
        <v/>
      </c>
    </row>
    <row r="416">
      <c r="H416" s="14">
        <f>IFERROR(F416*G416,"")</f>
        <v/>
      </c>
    </row>
    <row r="417">
      <c r="H417" s="14">
        <f>IFERROR(F417*G417,"")</f>
        <v/>
      </c>
    </row>
    <row r="418">
      <c r="H418" s="14">
        <f>IFERROR(F418*G418,"")</f>
        <v/>
      </c>
    </row>
    <row r="419">
      <c r="H419" s="14">
        <f>IFERROR(F419*G419,"")</f>
        <v/>
      </c>
    </row>
    <row r="420">
      <c r="H420" s="14">
        <f>IFERROR(F420*G420,"")</f>
        <v/>
      </c>
    </row>
    <row r="421">
      <c r="H421" s="14">
        <f>IFERROR(F421*G421,"")</f>
        <v/>
      </c>
    </row>
    <row r="422">
      <c r="H422" s="14">
        <f>IFERROR(F422*G422,"")</f>
        <v/>
      </c>
    </row>
    <row r="423">
      <c r="H423" s="14">
        <f>IFERROR(F423*G423,"")</f>
        <v/>
      </c>
    </row>
    <row r="424">
      <c r="H424" s="14">
        <f>IFERROR(F424*G424,"")</f>
        <v/>
      </c>
    </row>
    <row r="425">
      <c r="H425" s="14">
        <f>IFERROR(F425*G425,"")</f>
        <v/>
      </c>
    </row>
    <row r="426">
      <c r="H426" s="14">
        <f>IFERROR(F426*G426,"")</f>
        <v/>
      </c>
    </row>
    <row r="427">
      <c r="H427" s="14">
        <f>IFERROR(F427*G427,"")</f>
        <v/>
      </c>
    </row>
    <row r="428">
      <c r="H428" s="14">
        <f>IFERROR(F428*G428,"")</f>
        <v/>
      </c>
    </row>
    <row r="429">
      <c r="H429" s="14">
        <f>IFERROR(F429*G429,"")</f>
        <v/>
      </c>
    </row>
    <row r="430">
      <c r="H430" s="14">
        <f>IFERROR(F430*G430,"")</f>
        <v/>
      </c>
    </row>
    <row r="431">
      <c r="H431" s="14">
        <f>IFERROR(F431*G431,"")</f>
        <v/>
      </c>
    </row>
    <row r="432">
      <c r="H432" s="14">
        <f>IFERROR(F432*G432,"")</f>
        <v/>
      </c>
    </row>
    <row r="433">
      <c r="H433" s="14">
        <f>IFERROR(F433*G433,"")</f>
        <v/>
      </c>
    </row>
    <row r="434">
      <c r="H434" s="14">
        <f>IFERROR(F434*G434,"")</f>
        <v/>
      </c>
    </row>
    <row r="435">
      <c r="H435" s="14">
        <f>IFERROR(F435*G435,"")</f>
        <v/>
      </c>
    </row>
    <row r="436">
      <c r="H436" s="14">
        <f>IFERROR(F436*G436,"")</f>
        <v/>
      </c>
    </row>
    <row r="437">
      <c r="H437" s="14">
        <f>IFERROR(F437*G437,"")</f>
        <v/>
      </c>
    </row>
    <row r="438">
      <c r="H438" s="14">
        <f>IFERROR(F438*G438,"")</f>
        <v/>
      </c>
    </row>
    <row r="439">
      <c r="H439" s="14">
        <f>IFERROR(F439*G439,"")</f>
        <v/>
      </c>
    </row>
    <row r="440">
      <c r="H440" s="14">
        <f>IFERROR(F440*G440,"")</f>
        <v/>
      </c>
    </row>
    <row r="441">
      <c r="H441" s="14">
        <f>IFERROR(F441*G441,"")</f>
        <v/>
      </c>
    </row>
    <row r="442">
      <c r="H442" s="14">
        <f>IFERROR(F442*G442,"")</f>
        <v/>
      </c>
    </row>
    <row r="443">
      <c r="H443" s="14">
        <f>IFERROR(F443*G443,"")</f>
        <v/>
      </c>
    </row>
    <row r="444">
      <c r="H444" s="14">
        <f>IFERROR(F444*G444,"")</f>
        <v/>
      </c>
    </row>
    <row r="445">
      <c r="H445" s="14">
        <f>IFERROR(F445*G445,"")</f>
        <v/>
      </c>
    </row>
    <row r="446">
      <c r="H446" s="14">
        <f>IFERROR(F446*G446,"")</f>
        <v/>
      </c>
    </row>
    <row r="447">
      <c r="H447" s="14">
        <f>IFERROR(F447*G447,"")</f>
        <v/>
      </c>
    </row>
    <row r="448">
      <c r="H448" s="14">
        <f>IFERROR(F448*G448,"")</f>
        <v/>
      </c>
    </row>
    <row r="449">
      <c r="H449" s="14">
        <f>IFERROR(F449*G449,"")</f>
        <v/>
      </c>
    </row>
    <row r="450">
      <c r="H450" s="14">
        <f>IFERROR(F450*G450,"")</f>
        <v/>
      </c>
    </row>
    <row r="451">
      <c r="H451" s="14">
        <f>IFERROR(F451*G451,"")</f>
        <v/>
      </c>
    </row>
    <row r="452">
      <c r="H452" s="14">
        <f>IFERROR(F452*G452,"")</f>
        <v/>
      </c>
    </row>
    <row r="453">
      <c r="H453" s="14">
        <f>IFERROR(F453*G453,"")</f>
        <v/>
      </c>
    </row>
    <row r="454">
      <c r="H454" s="14">
        <f>IFERROR(F454*G454,"")</f>
        <v/>
      </c>
    </row>
    <row r="455">
      <c r="H455" s="14">
        <f>IFERROR(F455*G455,"")</f>
        <v/>
      </c>
    </row>
    <row r="456">
      <c r="H456" s="14">
        <f>IFERROR(F456*G456,"")</f>
        <v/>
      </c>
    </row>
    <row r="457">
      <c r="H457" s="14">
        <f>IFERROR(F457*G457,"")</f>
        <v/>
      </c>
    </row>
    <row r="458">
      <c r="H458" s="14">
        <f>IFERROR(F458*G458,"")</f>
        <v/>
      </c>
    </row>
    <row r="459">
      <c r="H459" s="14">
        <f>IFERROR(F459*G459,"")</f>
        <v/>
      </c>
    </row>
    <row r="460">
      <c r="H460" s="14">
        <f>IFERROR(F460*G460,"")</f>
        <v/>
      </c>
    </row>
    <row r="461">
      <c r="H461" s="14">
        <f>IFERROR(F461*G461,"")</f>
        <v/>
      </c>
    </row>
    <row r="462">
      <c r="H462" s="14">
        <f>IFERROR(F462*G462,"")</f>
        <v/>
      </c>
    </row>
    <row r="463">
      <c r="H463" s="14">
        <f>IFERROR(F463*G463,"")</f>
        <v/>
      </c>
    </row>
    <row r="464">
      <c r="H464" s="14">
        <f>IFERROR(F464*G464,"")</f>
        <v/>
      </c>
    </row>
    <row r="465">
      <c r="H465" s="14">
        <f>IFERROR(F465*G465,"")</f>
        <v/>
      </c>
    </row>
    <row r="466">
      <c r="H466" s="14">
        <f>IFERROR(F466*G466,"")</f>
        <v/>
      </c>
    </row>
    <row r="467">
      <c r="H467" s="14">
        <f>IFERROR(F467*G467,"")</f>
        <v/>
      </c>
    </row>
    <row r="468">
      <c r="H468" s="14">
        <f>IFERROR(F468*G468,"")</f>
        <v/>
      </c>
    </row>
    <row r="469">
      <c r="H469" s="14">
        <f>IFERROR(F469*G469,"")</f>
        <v/>
      </c>
    </row>
    <row r="470">
      <c r="H470" s="14">
        <f>IFERROR(F470*G470,"")</f>
        <v/>
      </c>
    </row>
    <row r="471">
      <c r="H471" s="14">
        <f>IFERROR(F471*G471,"")</f>
        <v/>
      </c>
    </row>
    <row r="472">
      <c r="H472" s="14">
        <f>IFERROR(F472*G472,"")</f>
        <v/>
      </c>
    </row>
    <row r="473">
      <c r="H473" s="14">
        <f>IFERROR(F473*G473,"")</f>
        <v/>
      </c>
    </row>
    <row r="474">
      <c r="H474" s="14">
        <f>IFERROR(F474*G474,"")</f>
        <v/>
      </c>
    </row>
    <row r="475">
      <c r="H475" s="14">
        <f>IFERROR(F475*G475,"")</f>
        <v/>
      </c>
    </row>
    <row r="476">
      <c r="H476" s="14">
        <f>IFERROR(F476*G476,"")</f>
        <v/>
      </c>
    </row>
    <row r="477">
      <c r="H477" s="14">
        <f>IFERROR(F477*G477,"")</f>
        <v/>
      </c>
    </row>
    <row r="478">
      <c r="H478" s="14">
        <f>IFERROR(F478*G478,"")</f>
        <v/>
      </c>
    </row>
    <row r="479">
      <c r="H479" s="14">
        <f>IFERROR(F479*G479,"")</f>
        <v/>
      </c>
    </row>
    <row r="480">
      <c r="H480" s="14">
        <f>IFERROR(F480*G480,"")</f>
        <v/>
      </c>
    </row>
    <row r="481">
      <c r="H481" s="14">
        <f>IFERROR(F481*G481,"")</f>
        <v/>
      </c>
    </row>
    <row r="482">
      <c r="H482" s="14">
        <f>IFERROR(F482*G482,"")</f>
        <v/>
      </c>
    </row>
    <row r="483">
      <c r="H483" s="14">
        <f>IFERROR(F483*G483,"")</f>
        <v/>
      </c>
    </row>
    <row r="484">
      <c r="H484" s="14">
        <f>IFERROR(F484*G484,"")</f>
        <v/>
      </c>
    </row>
    <row r="485">
      <c r="H485" s="14">
        <f>IFERROR(F485*G485,"")</f>
        <v/>
      </c>
    </row>
    <row r="486">
      <c r="H486" s="14">
        <f>IFERROR(F486*G486,"")</f>
        <v/>
      </c>
    </row>
    <row r="487">
      <c r="H487" s="14">
        <f>IFERROR(F487*G487,"")</f>
        <v/>
      </c>
    </row>
    <row r="488">
      <c r="H488" s="14">
        <f>IFERROR(F488*G488,"")</f>
        <v/>
      </c>
    </row>
    <row r="489">
      <c r="H489" s="14">
        <f>IFERROR(F489*G489,"")</f>
        <v/>
      </c>
    </row>
    <row r="490">
      <c r="H490" s="14">
        <f>IFERROR(F490*G490,"")</f>
        <v/>
      </c>
    </row>
    <row r="491">
      <c r="H491" s="14">
        <f>IFERROR(F491*G491,"")</f>
        <v/>
      </c>
    </row>
    <row r="492">
      <c r="H492" s="14">
        <f>IFERROR(F492*G492,"")</f>
        <v/>
      </c>
    </row>
    <row r="493">
      <c r="H493" s="14">
        <f>IFERROR(F493*G493,"")</f>
        <v/>
      </c>
    </row>
    <row r="494">
      <c r="H494" s="14">
        <f>IFERROR(F494*G494,"")</f>
        <v/>
      </c>
    </row>
    <row r="495">
      <c r="H495" s="14">
        <f>IFERROR(F495*G495,"")</f>
        <v/>
      </c>
    </row>
    <row r="496">
      <c r="H496" s="14">
        <f>IFERROR(F496*G496,"")</f>
        <v/>
      </c>
    </row>
    <row r="497">
      <c r="H497" s="14">
        <f>IFERROR(F497*G497,"")</f>
        <v/>
      </c>
    </row>
    <row r="498">
      <c r="H498" s="14">
        <f>IFERROR(F498*G498,"")</f>
        <v/>
      </c>
    </row>
    <row r="499">
      <c r="H499" s="14">
        <f>IFERROR(F499*G499,"")</f>
        <v/>
      </c>
    </row>
    <row r="500">
      <c r="H500" s="14">
        <f>IFERROR(F500*G500,"")</f>
        <v/>
      </c>
    </row>
    <row r="501">
      <c r="H501" s="14">
        <f>IFERROR(F501*G501,"")</f>
        <v/>
      </c>
    </row>
    <row r="502">
      <c r="H502" s="14">
        <f>IFERROR(F502*G502,"")</f>
        <v/>
      </c>
    </row>
  </sheetData>
  <mergeCells count="1">
    <mergeCell ref="A1:L1"/>
  </mergeCells>
  <conditionalFormatting sqref="J3:J2000">
    <cfRule type="cellIs" priority="1" operator="equal" dxfId="3">
      <formula>"赢单"</formula>
    </cfRule>
    <cfRule type="cellIs" priority="2" operator="equal" dxfId="0">
      <formula>"输单"</formula>
    </cfRule>
    <cfRule type="cellIs" priority="3" operator="equal" dxfId="1">
      <formula>"跟进中"</formula>
    </cfRule>
  </conditionalFormatting>
  <dataValidations count="1">
    <dataValidation sqref="J3:J2000" showDropDown="0" showInputMessage="0" showErrorMessage="0" allowBlank="1" type="list">
      <formula1>"已发出,跟进中,赢单,输单,过期"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F7F7F"/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2" customWidth="1" min="1" max="1"/>
    <col width="72" customWidth="1" min="2" max="2"/>
  </cols>
  <sheetData>
    <row r="1" ht="28" customHeight="1">
      <c r="A1" s="15" t="inlineStr">
        <is>
          <t>使用说明</t>
        </is>
      </c>
    </row>
    <row r="2" ht="20" customHeight="1">
      <c r="A2" s="16" t="inlineStr">
        <is>
          <t>工作表说明</t>
        </is>
      </c>
    </row>
    <row r="3" ht="16" customHeight="1">
      <c r="A3" s="17" t="inlineStr">
        <is>
          <t>主板</t>
        </is>
      </c>
      <c r="B3" s="9" t="inlineStr">
        <is>
          <t>所有客户一览；直接修改阶段/优先级/跟进日期；B列点击跳转详情</t>
        </is>
      </c>
    </row>
    <row r="4" ht="16" customHeight="1">
      <c r="A4" s="17" t="inlineStr">
        <is>
          <t>客户库</t>
        </is>
      </c>
      <c r="B4" s="9" t="inlineStr">
        <is>
          <t>每客户一行，存储完整背景信息和开发策略，新客户先在这里建档</t>
        </is>
      </c>
    </row>
    <row r="5" ht="16" customHeight="1">
      <c r="A5" s="17" t="inlineStr">
        <is>
          <t>跟进日志</t>
        </is>
      </c>
      <c r="B5" s="9" t="inlineStr">
        <is>
          <t>每次沟通一行（LinkedIn/邮件/电话），按客户ID关联；主板跟进次数自动计算</t>
        </is>
      </c>
    </row>
    <row r="6" ht="16" customHeight="1">
      <c r="A6" s="17" t="inlineStr">
        <is>
          <t>报价记录</t>
        </is>
      </c>
      <c r="B6" s="9" t="inlineStr">
        <is>
          <t>进入询盘阶段后使用；总价自动计算；阶段颜色自动标色</t>
        </is>
      </c>
    </row>
    <row r="7" ht="20" customHeight="1">
      <c r="A7" s="16" t="inlineStr">
        <is>
          <t>标准工作流程</t>
        </is>
      </c>
    </row>
    <row r="8" ht="16" customHeight="1">
      <c r="A8" s="17" t="inlineStr">
        <is>
          <t>1. 新客户入库</t>
        </is>
      </c>
      <c r="B8" s="9" t="inlineStr">
        <is>
          <t>在【客户库】填写详细信息 → 在【主板】新增一行填入ID → 设置优先级和下次跟进日期</t>
        </is>
      </c>
    </row>
    <row r="9" ht="16" customHeight="1">
      <c r="A9" s="17" t="inlineStr">
        <is>
          <t>2. 每次跟进后</t>
        </is>
      </c>
      <c r="B9" s="9" t="inlineStr">
        <is>
          <t>在【跟进日志】新增一行记录沟通内容 → 更新【主板】上次/下次跟进日期 → 如有阶段变化同步更新F列</t>
        </is>
      </c>
    </row>
    <row r="10" ht="16" customHeight="1">
      <c r="A10" s="17" t="inlineStr">
        <is>
          <t>3. 进入询盘</t>
        </is>
      </c>
      <c r="B10" s="9" t="inlineStr">
        <is>
          <t>在【报价记录】新建一行，填入产品/数量/FOB报价</t>
        </is>
      </c>
    </row>
    <row r="11" ht="16" customHeight="1">
      <c r="A11" s="17" t="inlineStr">
        <is>
          <t>4. 主板公式</t>
        </is>
      </c>
      <c r="B11" s="9" t="inlineStr">
        <is>
          <t>B列公司名 = HYPERLINK公式（自动关联客户库）；J列跟进次数 = COUNTIF自动统计</t>
        </is>
      </c>
    </row>
    <row r="12" ht="20" customHeight="1">
      <c r="A12" s="16" t="inlineStr">
        <is>
          <t>漏斗阶段定义</t>
        </is>
      </c>
    </row>
    <row r="13" ht="16" customHeight="1">
      <c r="A13" s="17" t="inlineStr">
        <is>
          <t>待接触</t>
        </is>
      </c>
      <c r="B13" s="9" t="inlineStr">
        <is>
          <t>已完成调研，尚未发出任何联系</t>
        </is>
      </c>
    </row>
    <row r="14" ht="16" customHeight="1">
      <c r="A14" s="17" t="inlineStr">
        <is>
          <t>已发消息</t>
        </is>
      </c>
      <c r="B14" s="9" t="inlineStr">
        <is>
          <t>已发LinkedIn连接请求或首封邮件，等待回应</t>
        </is>
      </c>
    </row>
    <row r="15" ht="16" customHeight="1">
      <c r="A15" s="17" t="inlineStr">
        <is>
          <t>已建对话</t>
        </is>
      </c>
      <c r="B15" s="9" t="inlineStr">
        <is>
          <t>已有来回沟通，建立基础联系</t>
        </is>
      </c>
    </row>
    <row r="16" ht="16" customHeight="1">
      <c r="A16" s="17" t="inlineStr">
        <is>
          <t>产品信息已发</t>
        </is>
      </c>
      <c r="B16" s="9" t="inlineStr">
        <is>
          <t>已发产品套件资料，待进一步跟进</t>
        </is>
      </c>
    </row>
    <row r="17" ht="16" customHeight="1">
      <c r="A17" s="17" t="inlineStr">
        <is>
          <t>询盘中</t>
        </is>
      </c>
      <c r="B17" s="9" t="inlineStr">
        <is>
          <t>对方表达具体需求，正在沟通规格/交期/细节</t>
        </is>
      </c>
    </row>
    <row r="18" ht="16" customHeight="1">
      <c r="A18" s="17" t="inlineStr">
        <is>
          <t>报价已发</t>
        </is>
      </c>
      <c r="B18" s="9" t="inlineStr">
        <is>
          <t>已发正式FOB报价单，待对方决策</t>
        </is>
      </c>
    </row>
    <row r="19" ht="16" customHeight="1">
      <c r="A19" s="17" t="inlineStr">
        <is>
          <t>谈判中</t>
        </is>
      </c>
      <c r="B19" s="9" t="inlineStr">
        <is>
          <t>价格/条款/MOQ在谈判中</t>
        </is>
      </c>
    </row>
    <row r="20" ht="16" customHeight="1">
      <c r="A20" s="17" t="inlineStr">
        <is>
          <t>已成单</t>
        </is>
      </c>
      <c r="B20" s="9" t="inlineStr">
        <is>
          <t>合同/PO已确认</t>
        </is>
      </c>
    </row>
    <row r="21" ht="16" customHeight="1">
      <c r="A21" s="17" t="inlineStr">
        <is>
          <t>暂停跟进</t>
        </is>
      </c>
      <c r="B21" s="9" t="inlineStr">
        <is>
          <t>当前无进展，3-6个月后可再接触</t>
        </is>
      </c>
    </row>
    <row r="22" ht="16" customHeight="1">
      <c r="A22" s="17" t="inlineStr">
        <is>
          <t>放弃</t>
        </is>
      </c>
      <c r="B22" s="9" t="inlineStr">
        <is>
          <t>确认无合作可能</t>
        </is>
      </c>
    </row>
    <row r="23" ht="20" customHeight="1">
      <c r="A23" s="16" t="inlineStr">
        <is>
          <t>买家类型说明</t>
        </is>
      </c>
    </row>
    <row r="24" ht="16" customHeight="1">
      <c r="A24" s="17" t="inlineStr">
        <is>
          <t>分销商</t>
        </is>
      </c>
      <c r="B24" s="9" t="inlineStr">
        <is>
          <t>促销品公司、礼品经销商（如Anthony/PR Promotional）——从Wischos进货再卖给终端客户</t>
        </is>
      </c>
    </row>
    <row r="25" ht="16" customHeight="1">
      <c r="A25" s="17" t="inlineStr">
        <is>
          <t>直客企业</t>
        </is>
      </c>
      <c r="B25" s="9" t="inlineStr">
        <is>
          <t>企业HR/采购/市场部门——直接采购作为员工礼品/客户礼品/活动物料</t>
        </is>
      </c>
    </row>
    <row r="26" ht="20" customHeight="1">
      <c r="A26" s="16" t="inlineStr">
        <is>
          <t>主板B列公式说明</t>
        </is>
      </c>
    </row>
    <row r="27" ht="16" customHeight="1">
      <c r="A27" s="17" t="inlineStr">
        <is>
          <t>公式原理</t>
        </is>
      </c>
      <c r="B27" s="9">
        <f>IFERROR(HYPERLINK("#客户库!A"&amp;MATCH(A7,客户库!$A:$A,0), VLOOKUP(A7,客户库!$A:$B,2,0)),A7)</f>
        <v/>
      </c>
    </row>
    <row r="28" ht="16" customHeight="1">
      <c r="A28" s="17" t="inlineStr">
        <is>
          <t>作用</t>
        </is>
      </c>
      <c r="B28" s="9" t="inlineStr">
        <is>
          <t>根据ID自动在客户库找到对应行 → 显示公司名 → 点击跳转。新增客户后公式向下复制即可</t>
        </is>
      </c>
    </row>
  </sheetData>
  <mergeCells count="6">
    <mergeCell ref="A26:B26"/>
    <mergeCell ref="A2:B2"/>
    <mergeCell ref="A7:B7"/>
    <mergeCell ref="A1:C1"/>
    <mergeCell ref="A23:B23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2026-04-21T01:46:04Z</dcterms:created>
  <dcterms:modified xmlns:dcterms="http://purl.org/dc/terms/" xmlns:xsi="http://www.w3.org/2001/XMLSchema-instance" xsi:type="dcterms:W3CDTF">2026-05-30T03:42:29Z</dcterms:modified>
</cp:coreProperties>
</file>