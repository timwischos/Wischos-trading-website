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ct\Wischos trading website\二次工作文件\co-work\"/>
    </mc:Choice>
  </mc:AlternateContent>
  <xr:revisionPtr revIDLastSave="0" documentId="13_ncr:1_{547E23CE-9B84-42E8-A5CD-7675C7AD0BB5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⚙️ 配置" sheetId="1" r:id="rId1"/>
    <sheet name="💰 完整报价" sheetId="2" r:id="rId2"/>
    <sheet name="📦 单品成本" sheetId="3" r:id="rId3"/>
    <sheet name="🎁 套件FOB" sheetId="4" r:id="rId4"/>
  </sheets>
  <definedNames>
    <definedName name="EXRATE">'⚙️ 配置'!$B$6</definedName>
    <definedName name="FOB_WGS_001">'🎁 套件FOB'!$E$15</definedName>
    <definedName name="FOB_WGS_002">'🎁 套件FOB'!$E$27</definedName>
    <definedName name="FOB_WGS_003">'🎁 套件FOB'!$E$39</definedName>
    <definedName name="FOB_WGS_004">'🎁 套件FOB'!$E$51</definedName>
    <definedName name="FOB_WGS_005">'🎁 套件FOB'!$E$63</definedName>
    <definedName name="FOB_WGS_006">'🎁 套件FOB'!$E$75</definedName>
    <definedName name="FOB_WGS_007">'🎁 套件FOB'!$E$87</definedName>
    <definedName name="FOB_WGS_008">'🎁 套件FOB'!$E$100</definedName>
    <definedName name="FREIGHT_CBM">'⚙️ 配置'!$B$9</definedName>
    <definedName name="INS_RATE">'⚙️ 配置'!$B$11</definedName>
    <definedName name="LCL_MIN">'⚙️ 配置'!$B$10</definedName>
    <definedName name="MARKUP">'⚙️ 配置'!$B$8</definedName>
    <definedName name="VATRATE">'⚙️ 配置'!$B$7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2" l="1"/>
  <c r="E14" i="4"/>
  <c r="E13" i="4"/>
  <c r="B23" i="2"/>
  <c r="E10" i="4"/>
  <c r="D7" i="3"/>
  <c r="D33" i="3"/>
  <c r="D32" i="3"/>
  <c r="D31" i="3"/>
  <c r="D30" i="3"/>
  <c r="D29" i="3"/>
  <c r="D28" i="3"/>
  <c r="D27" i="3"/>
  <c r="E26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6" i="3"/>
  <c r="B26" i="2"/>
  <c r="B21" i="2"/>
  <c r="B19" i="2"/>
  <c r="E30" i="3" l="1"/>
  <c r="G30" i="3" s="1"/>
  <c r="E29" i="3"/>
  <c r="G29" i="3" s="1"/>
  <c r="C56" i="4" s="1"/>
  <c r="E56" i="4" s="1"/>
  <c r="E28" i="3"/>
  <c r="G28" i="3" s="1"/>
  <c r="E27" i="3"/>
  <c r="G27" i="3" s="1"/>
  <c r="C92" i="4" s="1"/>
  <c r="G26" i="3"/>
  <c r="C57" i="4" s="1"/>
  <c r="E57" i="4" s="1"/>
  <c r="E25" i="3"/>
  <c r="G25" i="3" s="1"/>
  <c r="C45" i="4" s="1"/>
  <c r="E24" i="3"/>
  <c r="G24" i="3" s="1"/>
  <c r="C44" i="4" s="1"/>
  <c r="E44" i="4" s="1"/>
  <c r="E23" i="3"/>
  <c r="G23" i="3" s="1"/>
  <c r="C33" i="4" s="1"/>
  <c r="E33" i="4" s="1"/>
  <c r="E22" i="3"/>
  <c r="G22" i="3" s="1"/>
  <c r="C32" i="4" s="1"/>
  <c r="E32" i="4" s="1"/>
  <c r="E21" i="3"/>
  <c r="G21" i="3" s="1"/>
  <c r="C31" i="4" s="1"/>
  <c r="E31" i="4" s="1"/>
  <c r="E20" i="3"/>
  <c r="G20" i="3" s="1"/>
  <c r="C67" i="4" s="1"/>
  <c r="E67" i="4" s="1"/>
  <c r="E19" i="3"/>
  <c r="G19" i="3" s="1"/>
  <c r="E18" i="3"/>
  <c r="G18" i="3" s="1"/>
  <c r="E32" i="3"/>
  <c r="G32" i="3" s="1"/>
  <c r="C81" i="4" s="1"/>
  <c r="E81" i="4" s="1"/>
  <c r="E17" i="3"/>
  <c r="G17" i="3" s="1"/>
  <c r="C80" i="4" s="1"/>
  <c r="E80" i="4" s="1"/>
  <c r="E16" i="3"/>
  <c r="G16" i="3" s="1"/>
  <c r="C9" i="4" s="1"/>
  <c r="E9" i="4" s="1"/>
  <c r="E15" i="3"/>
  <c r="G15" i="3" s="1"/>
  <c r="C20" i="4" s="1"/>
  <c r="E20" i="4" s="1"/>
  <c r="E14" i="3"/>
  <c r="G14" i="3" s="1"/>
  <c r="C8" i="4" s="1"/>
  <c r="E8" i="4" s="1"/>
  <c r="E13" i="3"/>
  <c r="G13" i="3" s="1"/>
  <c r="C69" i="4" s="1"/>
  <c r="E69" i="4" s="1"/>
  <c r="B20" i="2"/>
  <c r="E33" i="3"/>
  <c r="G33" i="3" s="1"/>
  <c r="C94" i="4" s="1"/>
  <c r="E94" i="4" s="1"/>
  <c r="E31" i="3"/>
  <c r="G31" i="3" s="1"/>
  <c r="E12" i="3"/>
  <c r="G12" i="3" s="1"/>
  <c r="E11" i="3"/>
  <c r="G11" i="3" s="1"/>
  <c r="C91" i="4" s="1"/>
  <c r="E91" i="4" s="1"/>
  <c r="E10" i="3"/>
  <c r="G10" i="3" s="1"/>
  <c r="C79" i="4" s="1"/>
  <c r="E79" i="4" s="1"/>
  <c r="E9" i="3"/>
  <c r="G9" i="3" s="1"/>
  <c r="C68" i="4" s="1"/>
  <c r="E68" i="4" s="1"/>
  <c r="E8" i="3"/>
  <c r="G8" i="3" s="1"/>
  <c r="C43" i="4" s="1"/>
  <c r="E43" i="4" s="1"/>
  <c r="E7" i="3"/>
  <c r="G7" i="3" s="1"/>
  <c r="C7" i="4" s="1"/>
  <c r="E7" i="4" s="1"/>
  <c r="E6" i="3"/>
  <c r="G6" i="3" s="1"/>
  <c r="B24" i="2"/>
  <c r="B13" i="2"/>
  <c r="B14" i="2" s="1"/>
  <c r="B15" i="2" s="1"/>
  <c r="E34" i="4" l="1"/>
  <c r="E37" i="4" s="1"/>
  <c r="E92" i="4"/>
  <c r="C21" i="4"/>
  <c r="E21" i="4" s="1"/>
  <c r="C93" i="4"/>
  <c r="E93" i="4" s="1"/>
  <c r="E95" i="4" s="1"/>
  <c r="E98" i="4" s="1"/>
  <c r="C55" i="4"/>
  <c r="E55" i="4" s="1"/>
  <c r="E58" i="4" s="1"/>
  <c r="E61" i="4" s="1"/>
  <c r="C19" i="4"/>
  <c r="E19" i="4" s="1"/>
  <c r="E70" i="4"/>
  <c r="E73" i="4" s="1"/>
  <c r="E45" i="4"/>
  <c r="E82" i="4"/>
  <c r="E85" i="4" s="1"/>
  <c r="E46" i="4" l="1"/>
  <c r="E49" i="4" s="1"/>
  <c r="E38" i="4"/>
  <c r="E22" i="4"/>
  <c r="E25" i="4" s="1"/>
  <c r="E62" i="4"/>
  <c r="E74" i="4"/>
  <c r="E86" i="4"/>
  <c r="E99" i="4"/>
  <c r="E50" i="4" l="1"/>
  <c r="E39" i="4"/>
  <c r="E100" i="4"/>
  <c r="E15" i="4"/>
  <c r="B11" i="2" s="1"/>
  <c r="B16" i="2" s="1"/>
  <c r="E26" i="4"/>
  <c r="E63" i="4"/>
  <c r="E75" i="4"/>
  <c r="E87" i="4"/>
  <c r="E51" i="4" l="1"/>
  <c r="E27" i="4"/>
  <c r="E13" i="2"/>
  <c r="F13" i="2"/>
  <c r="B17" i="2"/>
  <c r="B18" i="2" l="1"/>
  <c r="F14" i="2" l="1"/>
  <c r="B22" i="2"/>
  <c r="E14" i="2"/>
  <c r="B25" i="2" l="1"/>
  <c r="B27" i="2" l="1"/>
  <c r="F15" i="2"/>
  <c r="E15" i="2"/>
  <c r="E16" i="2" l="1"/>
  <c r="F16" i="2"/>
</calcChain>
</file>

<file path=xl/sharedStrings.xml><?xml version="1.0" encoding="utf-8"?>
<sst xmlns="http://schemas.openxmlformats.org/spreadsheetml/2006/main" count="339" uniqueCount="228">
  <si>
    <r>
      <rPr>
        <b/>
        <sz val="14"/>
        <color rgb="FFB87333"/>
        <rFont val="Arial"/>
        <family val="2"/>
      </rPr>
      <t xml:space="preserve">Wischos </t>
    </r>
    <r>
      <rPr>
        <b/>
        <sz val="14"/>
        <color rgb="FFB87333"/>
        <rFont val="DejaVu Sans"/>
        <family val="2"/>
      </rPr>
      <t>报价计算器 — 全局配置</t>
    </r>
  </si>
  <si>
    <t>说明：</t>
  </si>
  <si>
    <r>
      <rPr>
        <i/>
        <sz val="10"/>
        <color rgb="FF555555"/>
        <rFont val="DejaVu Sans"/>
        <family val="2"/>
      </rPr>
      <t xml:space="preserve">黄色背景蓝字 </t>
    </r>
    <r>
      <rPr>
        <i/>
        <sz val="10"/>
        <color rgb="FF555555"/>
        <rFont val="Cambria"/>
        <family val="1"/>
      </rPr>
      <t xml:space="preserve">= </t>
    </r>
    <r>
      <rPr>
        <i/>
        <sz val="10"/>
        <color rgb="FF555555"/>
        <rFont val="DejaVu Sans"/>
        <family val="2"/>
      </rPr>
      <t xml:space="preserve">你需要填的输入；黑字 </t>
    </r>
    <r>
      <rPr>
        <i/>
        <sz val="10"/>
        <color rgb="FF555555"/>
        <rFont val="Cambria"/>
        <family val="1"/>
      </rPr>
      <t xml:space="preserve">= </t>
    </r>
    <r>
      <rPr>
        <i/>
        <sz val="10"/>
        <color rgb="FF555555"/>
        <rFont val="DejaVu Sans"/>
        <family val="2"/>
      </rPr>
      <t>自动计算；不要直接编辑黑字单元格</t>
    </r>
  </si>
  <si>
    <t>🌐 全局参数</t>
  </si>
  <si>
    <r>
      <rPr>
        <b/>
        <sz val="10"/>
        <rFont val="Arial"/>
        <family val="2"/>
      </rPr>
      <t xml:space="preserve">USD/RMB </t>
    </r>
    <r>
      <rPr>
        <b/>
        <sz val="10"/>
        <rFont val="DejaVu Sans"/>
        <family val="2"/>
      </rPr>
      <t>汇率</t>
    </r>
  </si>
  <si>
    <t>USD/RMB</t>
  </si>
  <si>
    <r>
      <rPr>
        <b/>
        <sz val="10"/>
        <rFont val="Arial"/>
        <family val="2"/>
      </rPr>
      <t xml:space="preserve">VAT </t>
    </r>
    <r>
      <rPr>
        <b/>
        <sz val="10"/>
        <rFont val="DejaVu Sans"/>
        <family val="2"/>
      </rPr>
      <t>退税率</t>
    </r>
  </si>
  <si>
    <t>百分比（出口退税）</t>
  </si>
  <si>
    <r>
      <rPr>
        <b/>
        <sz val="10"/>
        <rFont val="Arial"/>
        <family val="2"/>
      </rPr>
      <t xml:space="preserve">SOHO </t>
    </r>
    <r>
      <rPr>
        <b/>
        <sz val="10"/>
        <rFont val="DejaVu Sans"/>
        <family val="2"/>
      </rPr>
      <t xml:space="preserve">加价 </t>
    </r>
    <r>
      <rPr>
        <b/>
        <sz val="10"/>
        <rFont val="Arial"/>
        <family val="2"/>
      </rPr>
      <t>%</t>
    </r>
  </si>
  <si>
    <r>
      <rPr>
        <i/>
        <sz val="9"/>
        <color rgb="FF666666"/>
        <rFont val="DejaVu Sans"/>
        <family val="2"/>
      </rPr>
      <t xml:space="preserve">在直接成本上加价（建议 </t>
    </r>
    <r>
      <rPr>
        <i/>
        <sz val="9"/>
        <color rgb="FF666666"/>
        <rFont val="Cambria"/>
        <family val="1"/>
      </rPr>
      <t>25-35%</t>
    </r>
    <r>
      <rPr>
        <i/>
        <sz val="9"/>
        <color rgb="FF666666"/>
        <rFont val="DejaVu Sans"/>
        <family val="2"/>
      </rPr>
      <t>）</t>
    </r>
  </si>
  <si>
    <r>
      <rPr>
        <b/>
        <sz val="10"/>
        <rFont val="DejaVu Sans"/>
        <family val="2"/>
      </rPr>
      <t xml:space="preserve">海运费率 </t>
    </r>
    <r>
      <rPr>
        <b/>
        <sz val="10"/>
        <rFont val="Arial"/>
        <family val="2"/>
      </rPr>
      <t>USD/CBM</t>
    </r>
  </si>
  <si>
    <r>
      <rPr>
        <i/>
        <sz val="9"/>
        <color rgb="FF666666"/>
        <rFont val="Cambria"/>
        <family val="1"/>
      </rPr>
      <t xml:space="preserve">Shanghai LCL → </t>
    </r>
    <r>
      <rPr>
        <i/>
        <sz val="9"/>
        <color rgb="FF666666"/>
        <rFont val="DejaVu Sans"/>
        <family val="2"/>
      </rPr>
      <t>主要港口</t>
    </r>
  </si>
  <si>
    <r>
      <rPr>
        <b/>
        <sz val="10"/>
        <rFont val="Arial"/>
        <family val="2"/>
      </rPr>
      <t xml:space="preserve">LCL </t>
    </r>
    <r>
      <rPr>
        <b/>
        <sz val="10"/>
        <rFont val="DejaVu Sans"/>
        <family val="2"/>
      </rPr>
      <t xml:space="preserve">最低费 </t>
    </r>
    <r>
      <rPr>
        <b/>
        <sz val="10"/>
        <rFont val="Arial"/>
        <family val="2"/>
      </rPr>
      <t>USD</t>
    </r>
  </si>
  <si>
    <r>
      <rPr>
        <i/>
        <sz val="9"/>
        <color rgb="FF666666"/>
        <rFont val="DejaVu Sans"/>
        <family val="2"/>
      </rPr>
      <t xml:space="preserve">通常 </t>
    </r>
    <r>
      <rPr>
        <i/>
        <sz val="9"/>
        <color rgb="FF666666"/>
        <rFont val="Cambria"/>
        <family val="1"/>
      </rPr>
      <t xml:space="preserve">1 CBM </t>
    </r>
    <r>
      <rPr>
        <i/>
        <sz val="9"/>
        <color rgb="FF666666"/>
        <rFont val="DejaVu Sans"/>
        <family val="2"/>
      </rPr>
      <t>起算</t>
    </r>
  </si>
  <si>
    <t>保险费率</t>
  </si>
  <si>
    <r>
      <rPr>
        <i/>
        <sz val="9"/>
        <color rgb="FF666666"/>
        <rFont val="DejaVu Sans"/>
        <family val="2"/>
      </rPr>
      <t xml:space="preserve">货值的 </t>
    </r>
    <r>
      <rPr>
        <i/>
        <sz val="9"/>
        <color rgb="FF666666"/>
        <rFont val="Cambria"/>
        <family val="1"/>
      </rPr>
      <t>0.1%</t>
    </r>
  </si>
  <si>
    <r>
      <rPr>
        <b/>
        <sz val="10"/>
        <rFont val="Arial"/>
        <family val="2"/>
      </rPr>
      <t xml:space="preserve">CCPIT FTA </t>
    </r>
    <r>
      <rPr>
        <b/>
        <sz val="10"/>
        <rFont val="DejaVu Sans"/>
        <family val="2"/>
      </rPr>
      <t xml:space="preserve">证书 </t>
    </r>
    <r>
      <rPr>
        <b/>
        <sz val="10"/>
        <rFont val="Arial"/>
        <family val="2"/>
      </rPr>
      <t>RMB</t>
    </r>
  </si>
  <si>
    <t>每票分摊（按总数量分）</t>
  </si>
  <si>
    <r>
      <rPr>
        <b/>
        <sz val="10"/>
        <rFont val="Arial"/>
        <family val="2"/>
      </rPr>
      <t xml:space="preserve">Logo </t>
    </r>
    <r>
      <rPr>
        <b/>
        <sz val="10"/>
        <rFont val="DejaVu Sans"/>
        <family val="2"/>
      </rPr>
      <t xml:space="preserve">制版费 </t>
    </r>
    <r>
      <rPr>
        <b/>
        <sz val="10"/>
        <rFont val="Arial"/>
        <family val="2"/>
      </rPr>
      <t>USD</t>
    </r>
  </si>
  <si>
    <r>
      <rPr>
        <i/>
        <sz val="9"/>
        <color rgb="FF666666"/>
        <rFont val="DejaVu Sans"/>
        <family val="2"/>
      </rPr>
      <t xml:space="preserve">每个 </t>
    </r>
    <r>
      <rPr>
        <i/>
        <sz val="9"/>
        <color rgb="FF666666"/>
        <rFont val="Cambria"/>
        <family val="1"/>
      </rPr>
      <t xml:space="preserve">SKU </t>
    </r>
    <r>
      <rPr>
        <i/>
        <sz val="9"/>
        <color rgb="FF666666"/>
        <rFont val="DejaVu Sans"/>
        <family val="2"/>
      </rPr>
      <t>一次性，分摊到订单</t>
    </r>
  </si>
  <si>
    <r>
      <rPr>
        <b/>
        <sz val="12"/>
        <color rgb="FF000000"/>
        <rFont val="DejaVu Sans"/>
        <family val="2"/>
      </rPr>
      <t xml:space="preserve">🌍 各国 </t>
    </r>
    <r>
      <rPr>
        <b/>
        <sz val="12"/>
        <color rgb="FF000000"/>
        <rFont val="Arial"/>
        <family val="2"/>
      </rPr>
      <t xml:space="preserve">DDP </t>
    </r>
    <r>
      <rPr>
        <b/>
        <sz val="12"/>
        <color rgb="FF000000"/>
        <rFont val="DejaVu Sans"/>
        <family val="2"/>
      </rPr>
      <t>参数</t>
    </r>
  </si>
  <si>
    <t>国家代码</t>
  </si>
  <si>
    <t>国家名</t>
  </si>
  <si>
    <r>
      <rPr>
        <b/>
        <sz val="10"/>
        <color rgb="FFFFFFFF"/>
        <rFont val="DejaVu Sans"/>
        <family val="2"/>
      </rPr>
      <t xml:space="preserve">港口费 </t>
    </r>
    <r>
      <rPr>
        <b/>
        <sz val="10"/>
        <color rgb="FFFFFFFF"/>
        <rFont val="Arial"/>
        <family val="2"/>
      </rPr>
      <t>USD/</t>
    </r>
    <r>
      <rPr>
        <b/>
        <sz val="10"/>
        <color rgb="FFFFFFFF"/>
        <rFont val="DejaVu Sans"/>
        <family val="2"/>
      </rPr>
      <t>票</t>
    </r>
  </si>
  <si>
    <r>
      <rPr>
        <b/>
        <sz val="10"/>
        <color rgb="FFFFFFFF"/>
        <rFont val="DejaVu Sans"/>
        <family val="2"/>
      </rPr>
      <t>关税率（</t>
    </r>
    <r>
      <rPr>
        <b/>
        <sz val="10"/>
        <color rgb="FFFFFFFF"/>
        <rFont val="Arial"/>
        <family val="2"/>
      </rPr>
      <t>FTA</t>
    </r>
    <r>
      <rPr>
        <b/>
        <sz val="10"/>
        <color rgb="FFFFFFFF"/>
        <rFont val="DejaVu Sans"/>
        <family val="2"/>
      </rPr>
      <t>）</t>
    </r>
  </si>
  <si>
    <r>
      <rPr>
        <b/>
        <sz val="10"/>
        <color rgb="FFFFFFFF"/>
        <rFont val="DejaVu Sans"/>
        <family val="2"/>
      </rPr>
      <t xml:space="preserve">内陆派送 </t>
    </r>
    <r>
      <rPr>
        <b/>
        <sz val="10"/>
        <color rgb="FFFFFFFF"/>
        <rFont val="Arial"/>
        <family val="2"/>
      </rPr>
      <t>USD/</t>
    </r>
    <r>
      <rPr>
        <b/>
        <sz val="10"/>
        <color rgb="FFFFFFFF"/>
        <rFont val="DejaVu Sans"/>
        <family val="2"/>
      </rPr>
      <t>票</t>
    </r>
  </si>
  <si>
    <r>
      <rPr>
        <b/>
        <sz val="10"/>
        <color rgb="FFFFFFFF"/>
        <rFont val="Arial"/>
        <family val="2"/>
      </rPr>
      <t xml:space="preserve">GST/VAT </t>
    </r>
    <r>
      <rPr>
        <b/>
        <sz val="10"/>
        <color rgb="FFFFFFFF"/>
        <rFont val="DejaVu Sans"/>
        <family val="2"/>
      </rPr>
      <t>率</t>
    </r>
  </si>
  <si>
    <t>AU</t>
  </si>
  <si>
    <t>Australia (ChAFTA)</t>
  </si>
  <si>
    <t>NZ</t>
  </si>
  <si>
    <t>New Zealand (NZ-China FTA)</t>
  </si>
  <si>
    <t>SG</t>
  </si>
  <si>
    <t>Singapore (CSFTA)</t>
  </si>
  <si>
    <t>AE</t>
  </si>
  <si>
    <t>UAE (No FTA)</t>
  </si>
  <si>
    <t>HK</t>
  </si>
  <si>
    <t>Hong Kong (CEPA)</t>
  </si>
  <si>
    <t>CH</t>
  </si>
  <si>
    <t>Switzerland (CN-CH FTA)</t>
  </si>
  <si>
    <t>GB</t>
  </si>
  <si>
    <t>United Kingdom (No FTA)</t>
  </si>
  <si>
    <t>SA</t>
  </si>
  <si>
    <t>Saudi Arabia (No FTA)</t>
  </si>
  <si>
    <r>
      <rPr>
        <b/>
        <sz val="14"/>
        <color rgb="FFB87333"/>
        <rFont val="DejaVu Sans"/>
        <family val="2"/>
      </rPr>
      <t xml:space="preserve">完整报价表 — 选套件 </t>
    </r>
    <r>
      <rPr>
        <b/>
        <sz val="14"/>
        <color rgb="FFB87333"/>
        <rFont val="Arial"/>
        <family val="2"/>
      </rPr>
      <t xml:space="preserve">+ </t>
    </r>
    <r>
      <rPr>
        <b/>
        <sz val="14"/>
        <color rgb="FFB87333"/>
        <rFont val="DejaVu Sans"/>
        <family val="2"/>
      </rPr>
      <t xml:space="preserve">数量 </t>
    </r>
    <r>
      <rPr>
        <b/>
        <sz val="14"/>
        <color rgb="FFB87333"/>
        <rFont val="Arial"/>
        <family val="2"/>
      </rPr>
      <t xml:space="preserve">+ </t>
    </r>
    <r>
      <rPr>
        <b/>
        <sz val="14"/>
        <color rgb="FFB87333"/>
        <rFont val="DejaVu Sans"/>
        <family val="2"/>
      </rPr>
      <t xml:space="preserve">目的国 </t>
    </r>
    <r>
      <rPr>
        <b/>
        <sz val="14"/>
        <color rgb="FFB87333"/>
        <rFont val="Arial"/>
        <family val="2"/>
      </rPr>
      <t xml:space="preserve">= </t>
    </r>
    <r>
      <rPr>
        <b/>
        <sz val="14"/>
        <color rgb="FFB87333"/>
        <rFont val="DejaVu Sans"/>
        <family val="2"/>
      </rPr>
      <t xml:space="preserve">一键得 </t>
    </r>
    <r>
      <rPr>
        <b/>
        <sz val="14"/>
        <color rgb="FFB87333"/>
        <rFont val="Arial"/>
        <family val="2"/>
      </rPr>
      <t>FOB / CIF / DDP</t>
    </r>
  </si>
  <si>
    <t>黄色单元格自己改：套件、数量、目的国。其他数字全部自动算。</t>
  </si>
  <si>
    <t>🎯 输入参数</t>
  </si>
  <si>
    <r>
      <rPr>
        <b/>
        <sz val="12"/>
        <rFont val="DejaVu Sans"/>
        <family val="2"/>
      </rPr>
      <t xml:space="preserve">📦 套件 </t>
    </r>
    <r>
      <rPr>
        <b/>
        <sz val="12"/>
        <rFont val="Cambria"/>
        <family val="1"/>
      </rPr>
      <t xml:space="preserve">CBM </t>
    </r>
    <r>
      <rPr>
        <b/>
        <sz val="12"/>
        <rFont val="DejaVu Sans"/>
        <family val="2"/>
      </rPr>
      <t>参考表（可调）</t>
    </r>
  </si>
  <si>
    <t>选择套件</t>
  </si>
  <si>
    <t>WGS-001</t>
  </si>
  <si>
    <t>SKU</t>
  </si>
  <si>
    <t>CBM/set</t>
  </si>
  <si>
    <t>说明</t>
  </si>
  <si>
    <t>订单数量（套）</t>
  </si>
  <si>
    <t>Drawer box</t>
  </si>
  <si>
    <t>目的国家</t>
  </si>
  <si>
    <t>WGS-002</t>
  </si>
  <si>
    <t>Magnetic + Stand</t>
  </si>
  <si>
    <t>WGS-003</t>
  </si>
  <si>
    <t>Tin box</t>
  </si>
  <si>
    <t>📊 计算结果</t>
  </si>
  <si>
    <t>FOB per set (USD)</t>
  </si>
  <si>
    <t>📋 订单总价</t>
  </si>
  <si>
    <t>CBM per set</t>
  </si>
  <si>
    <t>报价方式</t>
  </si>
  <si>
    <r>
      <rPr>
        <b/>
        <sz val="10"/>
        <color rgb="FFFFFFFF"/>
        <rFont val="DejaVu Sans"/>
        <family val="2"/>
      </rPr>
      <t xml:space="preserve">单价 </t>
    </r>
    <r>
      <rPr>
        <b/>
        <sz val="10"/>
        <color rgb="FFFFFFFF"/>
        <rFont val="Arial"/>
        <family val="2"/>
      </rPr>
      <t>(USD)</t>
    </r>
  </si>
  <si>
    <r>
      <rPr>
        <b/>
        <sz val="10"/>
        <color rgb="FFFFFFFF"/>
        <rFont val="DejaVu Sans"/>
        <family val="2"/>
      </rPr>
      <t xml:space="preserve">订单总价 </t>
    </r>
    <r>
      <rPr>
        <b/>
        <sz val="10"/>
        <color rgb="FFFFFFFF"/>
        <rFont val="Arial"/>
        <family val="2"/>
      </rPr>
      <t>(USD)</t>
    </r>
  </si>
  <si>
    <r>
      <rPr>
        <sz val="10"/>
        <rFont val="DejaVu Sans"/>
        <family val="2"/>
      </rPr>
      <t xml:space="preserve">总 </t>
    </r>
    <r>
      <rPr>
        <sz val="10"/>
        <rFont val="Cambria"/>
        <family val="1"/>
      </rPr>
      <t>CBM</t>
    </r>
    <r>
      <rPr>
        <sz val="10"/>
        <rFont val="DejaVu Sans"/>
        <family val="2"/>
      </rPr>
      <t xml:space="preserve">（含 </t>
    </r>
    <r>
      <rPr>
        <sz val="10"/>
        <rFont val="Cambria"/>
        <family val="1"/>
      </rPr>
      <t xml:space="preserve">30% </t>
    </r>
    <r>
      <rPr>
        <sz val="10"/>
        <rFont val="DejaVu Sans"/>
        <family val="2"/>
      </rPr>
      <t>出口缓冲）</t>
    </r>
  </si>
  <si>
    <t>FOB Shanghai</t>
  </si>
  <si>
    <r>
      <rPr>
        <sz val="10"/>
        <rFont val="DejaVu Sans"/>
        <family val="2"/>
      </rPr>
      <t>海运费（</t>
    </r>
    <r>
      <rPr>
        <sz val="10"/>
        <rFont val="Cambria"/>
        <family val="1"/>
      </rPr>
      <t>USD</t>
    </r>
    <r>
      <rPr>
        <sz val="10"/>
        <rFont val="DejaVu Sans"/>
        <family val="2"/>
      </rPr>
      <t>，总）</t>
    </r>
  </si>
  <si>
    <t>CIF Destination</t>
  </si>
  <si>
    <r>
      <rPr>
        <sz val="10"/>
        <rFont val="DejaVu Sans"/>
        <family val="2"/>
      </rPr>
      <t xml:space="preserve">海运费 </t>
    </r>
    <r>
      <rPr>
        <sz val="10"/>
        <rFont val="Cambria"/>
        <family val="1"/>
      </rPr>
      <t>per set</t>
    </r>
  </si>
  <si>
    <t>DDP ex-GST</t>
  </si>
  <si>
    <r>
      <rPr>
        <sz val="10"/>
        <rFont val="DejaVu Sans"/>
        <family val="2"/>
      </rPr>
      <t xml:space="preserve">货值 </t>
    </r>
    <r>
      <rPr>
        <sz val="10"/>
        <rFont val="Cambria"/>
        <family val="1"/>
      </rPr>
      <t>per set</t>
    </r>
  </si>
  <si>
    <r>
      <rPr>
        <b/>
        <sz val="11"/>
        <rFont val="Cambria"/>
        <family val="1"/>
      </rPr>
      <t xml:space="preserve">DDP </t>
    </r>
    <r>
      <rPr>
        <b/>
        <sz val="11"/>
        <rFont val="DejaVu Sans"/>
        <family val="2"/>
      </rPr>
      <t xml:space="preserve">含 </t>
    </r>
    <r>
      <rPr>
        <b/>
        <sz val="11"/>
        <rFont val="Cambria"/>
        <family val="1"/>
      </rPr>
      <t>GST</t>
    </r>
  </si>
  <si>
    <r>
      <rPr>
        <sz val="10"/>
        <rFont val="DejaVu Sans"/>
        <family val="2"/>
      </rPr>
      <t xml:space="preserve">保险 </t>
    </r>
    <r>
      <rPr>
        <sz val="10"/>
        <rFont val="Cambria"/>
        <family val="1"/>
      </rPr>
      <t>per set</t>
    </r>
  </si>
  <si>
    <t>CIF per set (USD)</t>
  </si>
  <si>
    <r>
      <rPr>
        <sz val="10"/>
        <rFont val="DejaVu Sans"/>
        <family val="2"/>
      </rPr>
      <t xml:space="preserve">港口费 </t>
    </r>
    <r>
      <rPr>
        <sz val="10"/>
        <rFont val="Cambria"/>
        <family val="1"/>
      </rPr>
      <t>(USD</t>
    </r>
    <r>
      <rPr>
        <sz val="10"/>
        <rFont val="DejaVu Sans"/>
        <family val="2"/>
      </rPr>
      <t>，总</t>
    </r>
    <r>
      <rPr>
        <sz val="10"/>
        <rFont val="Cambria"/>
        <family val="1"/>
      </rPr>
      <t>)</t>
    </r>
  </si>
  <si>
    <r>
      <rPr>
        <sz val="10"/>
        <rFont val="DejaVu Sans"/>
        <family val="2"/>
      </rPr>
      <t xml:space="preserve">港口费 </t>
    </r>
    <r>
      <rPr>
        <sz val="10"/>
        <rFont val="Cambria"/>
        <family val="1"/>
      </rPr>
      <t>per set</t>
    </r>
  </si>
  <si>
    <r>
      <rPr>
        <sz val="10"/>
        <rFont val="DejaVu Sans"/>
        <family val="2"/>
      </rPr>
      <t xml:space="preserve">关税率（按 </t>
    </r>
    <r>
      <rPr>
        <sz val="10"/>
        <rFont val="Cambria"/>
        <family val="1"/>
      </rPr>
      <t>FTA</t>
    </r>
    <r>
      <rPr>
        <sz val="10"/>
        <rFont val="DejaVu Sans"/>
        <family val="2"/>
      </rPr>
      <t>）</t>
    </r>
  </si>
  <si>
    <r>
      <rPr>
        <sz val="10"/>
        <rFont val="DejaVu Sans"/>
        <family val="2"/>
      </rPr>
      <t xml:space="preserve">关税 </t>
    </r>
    <r>
      <rPr>
        <sz val="10"/>
        <rFont val="Cambria"/>
        <family val="1"/>
      </rPr>
      <t>per set</t>
    </r>
  </si>
  <si>
    <r>
      <rPr>
        <sz val="10"/>
        <rFont val="DejaVu Sans"/>
        <family val="2"/>
      </rPr>
      <t xml:space="preserve">内陆派送 </t>
    </r>
    <r>
      <rPr>
        <sz val="10"/>
        <rFont val="Cambria"/>
        <family val="1"/>
      </rPr>
      <t>(USD</t>
    </r>
    <r>
      <rPr>
        <sz val="10"/>
        <rFont val="DejaVu Sans"/>
        <family val="2"/>
      </rPr>
      <t>，总</t>
    </r>
    <r>
      <rPr>
        <sz val="10"/>
        <rFont val="Cambria"/>
        <family val="1"/>
      </rPr>
      <t>)</t>
    </r>
  </si>
  <si>
    <r>
      <rPr>
        <sz val="10"/>
        <rFont val="DejaVu Sans"/>
        <family val="2"/>
      </rPr>
      <t xml:space="preserve">内陆派送 </t>
    </r>
    <r>
      <rPr>
        <sz val="10"/>
        <rFont val="Cambria"/>
        <family val="1"/>
      </rPr>
      <t>per set</t>
    </r>
  </si>
  <si>
    <t>DDP per set ex-GST (USD)</t>
  </si>
  <si>
    <r>
      <rPr>
        <sz val="10"/>
        <rFont val="Cambria"/>
        <family val="1"/>
      </rPr>
      <t xml:space="preserve">GST/VAT </t>
    </r>
    <r>
      <rPr>
        <sz val="10"/>
        <rFont val="DejaVu Sans"/>
        <family val="2"/>
      </rPr>
      <t>率</t>
    </r>
  </si>
  <si>
    <r>
      <rPr>
        <b/>
        <sz val="11"/>
        <rFont val="Cambria"/>
        <family val="1"/>
      </rPr>
      <t xml:space="preserve">DDP per set </t>
    </r>
    <r>
      <rPr>
        <b/>
        <sz val="11"/>
        <rFont val="DejaVu Sans"/>
        <family val="2"/>
      </rPr>
      <t xml:space="preserve">含 </t>
    </r>
    <r>
      <rPr>
        <b/>
        <sz val="11"/>
        <rFont val="Cambria"/>
        <family val="1"/>
      </rPr>
      <t>GST (USD)</t>
    </r>
  </si>
  <si>
    <r>
      <rPr>
        <b/>
        <sz val="10"/>
        <rFont val="DejaVu Sans"/>
        <family val="2"/>
      </rPr>
      <t xml:space="preserve">📝 说明 </t>
    </r>
    <r>
      <rPr>
        <b/>
        <sz val="10"/>
        <rFont val="Cambria"/>
        <family val="1"/>
      </rPr>
      <t xml:space="preserve">/ </t>
    </r>
    <r>
      <rPr>
        <b/>
        <sz val="10"/>
        <rFont val="DejaVu Sans"/>
        <family val="2"/>
      </rPr>
      <t>假设：</t>
    </r>
  </si>
  <si>
    <r>
      <rPr>
        <sz val="9"/>
        <color rgb="FF555555"/>
        <rFont val="Cambria"/>
        <family val="1"/>
      </rPr>
      <t xml:space="preserve">1. FOB / CIF / DDP </t>
    </r>
    <r>
      <rPr>
        <sz val="9"/>
        <color rgb="FF555555"/>
        <rFont val="DejaVu Sans"/>
        <family val="2"/>
      </rPr>
      <t xml:space="preserve">都是 </t>
    </r>
    <r>
      <rPr>
        <sz val="9"/>
        <color rgb="FF555555"/>
        <rFont val="Cambria"/>
        <family val="1"/>
      </rPr>
      <t xml:space="preserve">SOHO </t>
    </r>
    <r>
      <rPr>
        <sz val="9"/>
        <color rgb="FF555555"/>
        <rFont val="DejaVu Sans"/>
        <family val="2"/>
      </rPr>
      <t>加价后的售价（含你的毛利）</t>
    </r>
  </si>
  <si>
    <r>
      <rPr>
        <sz val="9"/>
        <color rgb="FF555555"/>
        <rFont val="Cambria"/>
        <family val="1"/>
      </rPr>
      <t xml:space="preserve">2. DDP ex-GST </t>
    </r>
    <r>
      <rPr>
        <sz val="9"/>
        <color rgb="FF555555"/>
        <rFont val="DejaVu Sans"/>
        <family val="2"/>
      </rPr>
      <t xml:space="preserve">是行业标准 </t>
    </r>
    <r>
      <rPr>
        <sz val="9"/>
        <color rgb="FF555555"/>
        <rFont val="Cambria"/>
        <family val="1"/>
      </rPr>
      <t xml:space="preserve">B2B </t>
    </r>
    <r>
      <rPr>
        <sz val="9"/>
        <color rgb="FF555555"/>
        <rFont val="DejaVu Sans"/>
        <family val="2"/>
      </rPr>
      <t>报价（</t>
    </r>
    <r>
      <rPr>
        <sz val="9"/>
        <color rgb="FF555555"/>
        <rFont val="Cambria"/>
        <family val="1"/>
      </rPr>
      <t xml:space="preserve">GST </t>
    </r>
    <r>
      <rPr>
        <sz val="9"/>
        <color rgb="FF555555"/>
        <rFont val="DejaVu Sans"/>
        <family val="2"/>
      </rPr>
      <t>由买家退税回收）</t>
    </r>
  </si>
  <si>
    <r>
      <rPr>
        <sz val="9"/>
        <color rgb="FF555555"/>
        <rFont val="Cambria"/>
        <family val="1"/>
      </rPr>
      <t xml:space="preserve">3. DDP </t>
    </r>
    <r>
      <rPr>
        <sz val="9"/>
        <color rgb="FF555555"/>
        <rFont val="DejaVu Sans"/>
        <family val="2"/>
      </rPr>
      <t xml:space="preserve">含 </t>
    </r>
    <r>
      <rPr>
        <sz val="9"/>
        <color rgb="FF555555"/>
        <rFont val="Cambria"/>
        <family val="1"/>
      </rPr>
      <t xml:space="preserve">GST </t>
    </r>
    <r>
      <rPr>
        <sz val="9"/>
        <color rgb="FF555555"/>
        <rFont val="DejaVu Sans"/>
        <family val="2"/>
      </rPr>
      <t>适合</t>
    </r>
    <r>
      <rPr>
        <sz val="9"/>
        <color rgb="FF555555"/>
        <rFont val="Cambria"/>
        <family val="1"/>
      </rPr>
      <t>"</t>
    </r>
    <r>
      <rPr>
        <sz val="9"/>
        <color rgb="FF555555"/>
        <rFont val="DejaVu Sans"/>
        <family val="2"/>
      </rPr>
      <t>全包到门</t>
    </r>
    <r>
      <rPr>
        <sz val="9"/>
        <color rgb="FF555555"/>
        <rFont val="Cambria"/>
        <family val="1"/>
      </rPr>
      <t>"</t>
    </r>
    <r>
      <rPr>
        <sz val="9"/>
        <color rgb="FF555555"/>
        <rFont val="DejaVu Sans"/>
        <family val="2"/>
      </rPr>
      <t xml:space="preserve">报价（用于直接面向终端 </t>
    </r>
    <r>
      <rPr>
        <sz val="9"/>
        <color rgb="FF555555"/>
        <rFont val="Cambria"/>
        <family val="1"/>
      </rPr>
      <t xml:space="preserve">/ </t>
    </r>
    <r>
      <rPr>
        <sz val="9"/>
        <color rgb="FF555555"/>
        <rFont val="DejaVu Sans"/>
        <family val="2"/>
      </rPr>
      <t>政府）</t>
    </r>
  </si>
  <si>
    <r>
      <rPr>
        <sz val="9"/>
        <color rgb="FF555555"/>
        <rFont val="Cambria"/>
        <family val="1"/>
      </rPr>
      <t xml:space="preserve">4. 100 </t>
    </r>
    <r>
      <rPr>
        <sz val="9"/>
        <color rgb="FF555555"/>
        <rFont val="DejaVu Sans"/>
        <family val="2"/>
      </rPr>
      <t>套是小批量，</t>
    </r>
    <r>
      <rPr>
        <sz val="9"/>
        <color rgb="FF555555"/>
        <rFont val="Cambria"/>
        <family val="1"/>
      </rPr>
      <t xml:space="preserve">500+ </t>
    </r>
    <r>
      <rPr>
        <sz val="9"/>
        <color rgb="FF555555"/>
        <rFont val="DejaVu Sans"/>
        <family val="2"/>
      </rPr>
      <t xml:space="preserve">套时直接成本会下降 </t>
    </r>
    <r>
      <rPr>
        <sz val="9"/>
        <color rgb="FF555555"/>
        <rFont val="Cambria"/>
        <family val="1"/>
      </rPr>
      <t>15-25%</t>
    </r>
  </si>
  <si>
    <r>
      <rPr>
        <sz val="9"/>
        <color rgb="FF555555"/>
        <rFont val="Cambria"/>
        <family val="1"/>
      </rPr>
      <t xml:space="preserve">5. </t>
    </r>
    <r>
      <rPr>
        <sz val="9"/>
        <color rgb="FF555555"/>
        <rFont val="DejaVu Sans"/>
        <family val="2"/>
      </rPr>
      <t>改 ⚙️ 配置 的</t>
    </r>
    <r>
      <rPr>
        <sz val="9"/>
        <color rgb="FF555555"/>
        <rFont val="Cambria"/>
        <family val="1"/>
      </rPr>
      <t xml:space="preserve">"SOHO </t>
    </r>
    <r>
      <rPr>
        <sz val="9"/>
        <color rgb="FF555555"/>
        <rFont val="DejaVu Sans"/>
        <family val="2"/>
      </rPr>
      <t xml:space="preserve">加价 </t>
    </r>
    <r>
      <rPr>
        <sz val="9"/>
        <color rgb="FF555555"/>
        <rFont val="Cambria"/>
        <family val="1"/>
      </rPr>
      <t>%"</t>
    </r>
    <r>
      <rPr>
        <sz val="9"/>
        <color rgb="FF555555"/>
        <rFont val="DejaVu Sans"/>
        <family val="2"/>
      </rPr>
      <t>可整体调整报价利润</t>
    </r>
  </si>
  <si>
    <r>
      <rPr>
        <sz val="9"/>
        <color rgb="FF555555"/>
        <rFont val="Cambria"/>
        <family val="1"/>
      </rPr>
      <t xml:space="preserve">6. </t>
    </r>
    <r>
      <rPr>
        <sz val="9"/>
        <color rgb="FF555555"/>
        <rFont val="DejaVu Sans"/>
        <family val="2"/>
      </rPr>
      <t xml:space="preserve">改 📦 单品成本 的「含税单价 </t>
    </r>
    <r>
      <rPr>
        <sz val="9"/>
        <color rgb="FF555555"/>
        <rFont val="Cambria"/>
        <family val="1"/>
      </rPr>
      <t>RMB</t>
    </r>
    <r>
      <rPr>
        <sz val="9"/>
        <color rgb="FF555555"/>
        <rFont val="DejaVu Sans"/>
        <family val="2"/>
      </rPr>
      <t>」列可更新实际工厂报价</t>
    </r>
  </si>
  <si>
    <r>
      <rPr>
        <b/>
        <sz val="14"/>
        <color rgb="FFB87333"/>
        <rFont val="DejaVu Sans"/>
        <family val="2"/>
      </rPr>
      <t xml:space="preserve">单品成本表 — 从 </t>
    </r>
    <r>
      <rPr>
        <b/>
        <sz val="14"/>
        <color rgb="FFB87333"/>
        <rFont val="Arial"/>
        <family val="2"/>
      </rPr>
      <t xml:space="preserve">1688 </t>
    </r>
    <r>
      <rPr>
        <b/>
        <sz val="14"/>
        <color rgb="FFB87333"/>
        <rFont val="DejaVu Sans"/>
        <family val="2"/>
      </rPr>
      <t xml:space="preserve">含税价自动计算 </t>
    </r>
    <r>
      <rPr>
        <b/>
        <sz val="14"/>
        <color rgb="FFB87333"/>
        <rFont val="Arial"/>
        <family val="2"/>
      </rPr>
      <t>USD</t>
    </r>
  </si>
  <si>
    <r>
      <rPr>
        <i/>
        <sz val="9"/>
        <color rgb="FF666666"/>
        <rFont val="Cambria"/>
        <family val="1"/>
      </rPr>
      <t xml:space="preserve">C </t>
    </r>
    <r>
      <rPr>
        <i/>
        <sz val="9"/>
        <color rgb="FF666666"/>
        <rFont val="DejaVu Sans"/>
        <family val="2"/>
      </rPr>
      <t xml:space="preserve">列填 </t>
    </r>
    <r>
      <rPr>
        <i/>
        <sz val="9"/>
        <color rgb="FF666666"/>
        <rFont val="Cambria"/>
        <family val="1"/>
      </rPr>
      <t xml:space="preserve">1688 </t>
    </r>
    <r>
      <rPr>
        <i/>
        <sz val="9"/>
        <color rgb="FF666666"/>
        <rFont val="DejaVu Sans"/>
        <family val="2"/>
      </rPr>
      <t>含税单价（</t>
    </r>
    <r>
      <rPr>
        <i/>
        <sz val="9"/>
        <color rgb="FF666666"/>
        <rFont val="Cambria"/>
        <family val="1"/>
      </rPr>
      <t>RMB</t>
    </r>
    <r>
      <rPr>
        <i/>
        <sz val="9"/>
        <color rgb="FF666666"/>
        <rFont val="DejaVu Sans"/>
        <family val="2"/>
      </rPr>
      <t>）→ 后面列全自动算。</t>
    </r>
    <r>
      <rPr>
        <i/>
        <sz val="9"/>
        <color rgb="FF666666"/>
        <rFont val="Cambria"/>
        <family val="1"/>
      </rPr>
      <t xml:space="preserve">F </t>
    </r>
    <r>
      <rPr>
        <i/>
        <sz val="9"/>
        <color rgb="FF666666"/>
        <rFont val="DejaVu Sans"/>
        <family val="2"/>
      </rPr>
      <t xml:space="preserve">列 </t>
    </r>
    <r>
      <rPr>
        <i/>
        <sz val="9"/>
        <color rgb="FF666666"/>
        <rFont val="Cambria"/>
        <family val="1"/>
      </rPr>
      <t xml:space="preserve">logo </t>
    </r>
    <r>
      <rPr>
        <i/>
        <sz val="9"/>
        <color rgb="FF666666"/>
        <rFont val="DejaVu Sans"/>
        <family val="2"/>
      </rPr>
      <t xml:space="preserve">工艺加价可调（默认 </t>
    </r>
    <r>
      <rPr>
        <i/>
        <sz val="9"/>
        <color rgb="FF666666"/>
        <rFont val="Cambria"/>
        <family val="1"/>
      </rPr>
      <t>0.30 USD</t>
    </r>
    <r>
      <rPr>
        <i/>
        <sz val="9"/>
        <color rgb="FF666666"/>
        <rFont val="DejaVu Sans"/>
        <family val="2"/>
      </rPr>
      <t>）。</t>
    </r>
  </si>
  <si>
    <t>产品名</t>
  </si>
  <si>
    <r>
      <rPr>
        <b/>
        <sz val="10"/>
        <color rgb="FFFFFFFF"/>
        <rFont val="DejaVu Sans"/>
        <family val="2"/>
      </rPr>
      <t>含税单价</t>
    </r>
    <r>
      <rPr>
        <b/>
        <sz val="10"/>
        <color rgb="FFFFFFFF"/>
        <rFont val="Arial"/>
        <family val="2"/>
      </rPr>
      <t>(RMB)</t>
    </r>
  </si>
  <si>
    <r>
      <rPr>
        <b/>
        <sz val="10"/>
        <color rgb="FFFFFFFF"/>
        <rFont val="DejaVu Sans"/>
        <family val="2"/>
      </rPr>
      <t>不含税</t>
    </r>
    <r>
      <rPr>
        <b/>
        <sz val="10"/>
        <color rgb="FFFFFFFF"/>
        <rFont val="Arial"/>
        <family val="2"/>
      </rPr>
      <t>(RMB)</t>
    </r>
  </si>
  <si>
    <r>
      <rPr>
        <b/>
        <sz val="10"/>
        <color rgb="FFFFFFFF"/>
        <rFont val="Arial"/>
        <family val="2"/>
      </rPr>
      <t xml:space="preserve">USD </t>
    </r>
    <r>
      <rPr>
        <b/>
        <sz val="10"/>
        <color rgb="FFFFFFFF"/>
        <rFont val="DejaVu Sans"/>
        <family val="2"/>
      </rPr>
      <t>等价</t>
    </r>
  </si>
  <si>
    <r>
      <rPr>
        <b/>
        <sz val="10"/>
        <color rgb="FFFFFFFF"/>
        <rFont val="Arial"/>
        <family val="2"/>
      </rPr>
      <t xml:space="preserve">Logo </t>
    </r>
    <r>
      <rPr>
        <b/>
        <sz val="10"/>
        <color rgb="FFFFFFFF"/>
        <rFont val="DejaVu Sans"/>
        <family val="2"/>
      </rPr>
      <t>工艺加价</t>
    </r>
    <r>
      <rPr>
        <b/>
        <sz val="10"/>
        <color rgb="FFFFFFFF"/>
        <rFont val="Arial"/>
        <family val="2"/>
      </rPr>
      <t>(USD)</t>
    </r>
  </si>
  <si>
    <r>
      <rPr>
        <b/>
        <sz val="10"/>
        <color rgb="FFFFFFFF"/>
        <rFont val="DejaVu Sans"/>
        <family val="2"/>
      </rPr>
      <t>单品总成本</t>
    </r>
    <r>
      <rPr>
        <b/>
        <sz val="10"/>
        <color rgb="FFFFFFFF"/>
        <rFont val="Arial"/>
        <family val="2"/>
      </rPr>
      <t>(USD)</t>
    </r>
  </si>
  <si>
    <t>备注</t>
  </si>
  <si>
    <t>WP-101</t>
  </si>
  <si>
    <t>Brass Crown Bolt-Action Pen</t>
  </si>
  <si>
    <t>黄铜螺旋机械</t>
  </si>
  <si>
    <t>WP-102</t>
  </si>
  <si>
    <t>Executive Dual-Head Inkless Pen</t>
  </si>
  <si>
    <t>铝阳极氧化无墨笔</t>
  </si>
  <si>
    <t>WP-103</t>
  </si>
  <si>
    <t>Tactical Stainless Pen</t>
  </si>
  <si>
    <r>
      <rPr>
        <i/>
        <sz val="9"/>
        <color rgb="FF666666"/>
        <rFont val="Cambria"/>
        <family val="1"/>
      </rPr>
      <t xml:space="preserve">303 </t>
    </r>
    <r>
      <rPr>
        <i/>
        <sz val="9"/>
        <color rgb="FF666666"/>
        <rFont val="DejaVu Sans"/>
        <family val="2"/>
      </rPr>
      <t>不锈钢战术</t>
    </r>
  </si>
  <si>
    <t>WP-104</t>
  </si>
  <si>
    <t>6-in-1 Tool Pen</t>
  </si>
  <si>
    <t>锌合金多功能</t>
  </si>
  <si>
    <t>WP-105</t>
  </si>
  <si>
    <t>Artisan Brass Rollerball</t>
  </si>
  <si>
    <t>黄铜走珠笔</t>
  </si>
  <si>
    <t>WP-106</t>
  </si>
  <si>
    <t>Solid Brass Ballpoint Pen</t>
  </si>
  <si>
    <t>黄铜圆珠笔</t>
  </si>
  <si>
    <t>WP-201</t>
  </si>
  <si>
    <t>Aluminium Mouse Pad</t>
  </si>
  <si>
    <r>
      <rPr>
        <i/>
        <sz val="9"/>
        <color rgb="FF666666"/>
        <rFont val="Cambria"/>
        <family val="1"/>
      </rPr>
      <t xml:space="preserve">5052 </t>
    </r>
    <r>
      <rPr>
        <i/>
        <sz val="9"/>
        <color rgb="FF666666"/>
        <rFont val="DejaVu Sans"/>
        <family val="2"/>
      </rPr>
      <t>铝合金</t>
    </r>
  </si>
  <si>
    <t>WP-202</t>
  </si>
  <si>
    <t>Precision Aluminium Pen Holder</t>
  </si>
  <si>
    <r>
      <rPr>
        <i/>
        <sz val="9"/>
        <color rgb="FF666666"/>
        <rFont val="Cambria"/>
        <family val="1"/>
      </rPr>
      <t xml:space="preserve">6061-T6 </t>
    </r>
    <r>
      <rPr>
        <i/>
        <sz val="9"/>
        <color rgb="FF666666"/>
        <rFont val="DejaVu Sans"/>
        <family val="2"/>
      </rPr>
      <t>铝</t>
    </r>
  </si>
  <si>
    <t>WP-203</t>
  </si>
  <si>
    <t>Zinc Alloy Letter Opener</t>
  </si>
  <si>
    <t>电镀锌合金</t>
  </si>
  <si>
    <t>WP-204</t>
  </si>
  <si>
    <t>Propeller Spinning Letter Opener</t>
  </si>
  <si>
    <t>机械螺旋</t>
  </si>
  <si>
    <t>WP-205</t>
  </si>
  <si>
    <t>Custom Metal Bookmark</t>
  </si>
  <si>
    <t>含异形开模分摊</t>
  </si>
  <si>
    <t>WP-206</t>
  </si>
  <si>
    <t>Precision Brass Spinning Top</t>
  </si>
  <si>
    <t>黄铜陀螺</t>
  </si>
  <si>
    <t>WP-207</t>
  </si>
  <si>
    <t>Carbon Fiber Magnetic Fidget Stick</t>
  </si>
  <si>
    <r>
      <rPr>
        <i/>
        <sz val="9"/>
        <color rgb="FF666666"/>
        <rFont val="DejaVu Sans"/>
        <family val="2"/>
      </rPr>
      <t>碳纤维</t>
    </r>
    <r>
      <rPr>
        <i/>
        <sz val="9"/>
        <color rgb="FF666666"/>
        <rFont val="Cambria"/>
        <family val="1"/>
      </rPr>
      <t>+</t>
    </r>
    <r>
      <rPr>
        <i/>
        <sz val="9"/>
        <color rgb="FF666666"/>
        <rFont val="DejaVu Sans"/>
        <family val="2"/>
      </rPr>
      <t xml:space="preserve">磁铁（边缘 </t>
    </r>
    <r>
      <rPr>
        <i/>
        <sz val="9"/>
        <color rgb="FF666666"/>
        <rFont val="Cambria"/>
        <family val="1"/>
      </rPr>
      <t>SKU</t>
    </r>
    <r>
      <rPr>
        <i/>
        <sz val="9"/>
        <color rgb="FF666666"/>
        <rFont val="DejaVu Sans"/>
        <family val="2"/>
      </rPr>
      <t>）</t>
    </r>
  </si>
  <si>
    <t>WP-208</t>
  </si>
  <si>
    <t>Folding Aluminium Device Stand</t>
  </si>
  <si>
    <r>
      <rPr>
        <i/>
        <sz val="9"/>
        <color rgb="FF666666"/>
        <rFont val="Cambria"/>
        <family val="1"/>
      </rPr>
      <t xml:space="preserve">6061-T6 </t>
    </r>
    <r>
      <rPr>
        <i/>
        <sz val="9"/>
        <color rgb="FF666666"/>
        <rFont val="DejaVu Sans"/>
        <family val="2"/>
      </rPr>
      <t>折叠</t>
    </r>
  </si>
  <si>
    <t>WP-301</t>
  </si>
  <si>
    <t>RFID Aluminium Badge Holder</t>
  </si>
  <si>
    <r>
      <rPr>
        <i/>
        <sz val="9"/>
        <color rgb="FF666666"/>
        <rFont val="DejaVu Sans"/>
        <family val="2"/>
      </rPr>
      <t xml:space="preserve">铝合金 </t>
    </r>
    <r>
      <rPr>
        <i/>
        <sz val="9"/>
        <color rgb="FF666666"/>
        <rFont val="Cambria"/>
        <family val="1"/>
      </rPr>
      <t>RFID</t>
    </r>
  </si>
  <si>
    <t>WP-302</t>
  </si>
  <si>
    <t>Industrial Brass Key Organizer</t>
  </si>
  <si>
    <t>黄铜钥匙器</t>
  </si>
  <si>
    <t>WP-303</t>
  </si>
  <si>
    <t>Stainless Steel Money Clip</t>
  </si>
  <si>
    <t>不锈钢钱夹</t>
  </si>
  <si>
    <t>WP-304</t>
  </si>
  <si>
    <t>Titanium EDC Comb</t>
  </si>
  <si>
    <t>钛梳</t>
  </si>
  <si>
    <t>WP-305</t>
  </si>
  <si>
    <t>Mini EDC Pry Bar</t>
  </si>
  <si>
    <r>
      <rPr>
        <i/>
        <sz val="9"/>
        <color rgb="FF666666"/>
        <rFont val="DejaVu Sans"/>
        <family val="2"/>
      </rPr>
      <t>不锈钢</t>
    </r>
    <r>
      <rPr>
        <i/>
        <sz val="9"/>
        <color rgb="FF666666"/>
        <rFont val="Cambria"/>
        <family val="1"/>
      </rPr>
      <t>/</t>
    </r>
    <r>
      <rPr>
        <i/>
        <sz val="9"/>
        <color rgb="FF666666"/>
        <rFont val="DejaVu Sans"/>
        <family val="2"/>
      </rPr>
      <t>钛撬棒</t>
    </r>
  </si>
  <si>
    <t>WP-307</t>
  </si>
  <si>
    <t>EDC Folding Scissors</t>
  </si>
  <si>
    <r>
      <rPr>
        <i/>
        <sz val="9"/>
        <color rgb="FF666666"/>
        <rFont val="Cambria"/>
        <family val="1"/>
      </rPr>
      <t xml:space="preserve">2CR13 </t>
    </r>
    <r>
      <rPr>
        <i/>
        <sz val="9"/>
        <color rgb="FF666666"/>
        <rFont val="DejaVu Sans"/>
        <family val="2"/>
      </rPr>
      <t>折叠剪</t>
    </r>
  </si>
  <si>
    <t>WP-308</t>
  </si>
  <si>
    <t>Titanium EDC Keychain/Carabiner</t>
  </si>
  <si>
    <r>
      <rPr>
        <i/>
        <sz val="9"/>
        <color rgb="FF666666"/>
        <rFont val="DejaVu Sans"/>
        <family val="2"/>
      </rPr>
      <t>钛</t>
    </r>
    <r>
      <rPr>
        <i/>
        <sz val="9"/>
        <color rgb="FF666666"/>
        <rFont val="Cambria"/>
        <family val="1"/>
      </rPr>
      <t>+</t>
    </r>
    <r>
      <rPr>
        <i/>
        <sz val="9"/>
        <color rgb="FF666666"/>
        <rFont val="DejaVu Sans"/>
        <family val="2"/>
      </rPr>
      <t>黄铜锁芯</t>
    </r>
  </si>
  <si>
    <t>WP-309</t>
  </si>
  <si>
    <t>Slim Push Business Card Case</t>
  </si>
  <si>
    <t>不锈钢推拉卡盒</t>
  </si>
  <si>
    <t>WP-401</t>
  </si>
  <si>
    <t>Pure Titanium Vacuum Bottle (large)</t>
  </si>
  <si>
    <t>纯钛真空瓶</t>
  </si>
  <si>
    <t>WP-402</t>
  </si>
  <si>
    <t>Pure Titanium Capsule Bottle 150ml</t>
  </si>
  <si>
    <t>纯钛胶囊瓶</t>
  </si>
  <si>
    <t>WP-403</t>
  </si>
  <si>
    <t>Weighted Vacuum Tumbler</t>
  </si>
  <si>
    <r>
      <rPr>
        <i/>
        <sz val="9"/>
        <color rgb="FF666666"/>
        <rFont val="DejaVu Sans"/>
        <family val="2"/>
      </rPr>
      <t xml:space="preserve">不锈钢加重 </t>
    </r>
    <r>
      <rPr>
        <i/>
        <sz val="9"/>
        <color rgb="FF666666"/>
        <rFont val="Cambria"/>
        <family val="1"/>
      </rPr>
      <t>tumbler</t>
    </r>
  </si>
  <si>
    <t>WP-404</t>
  </si>
  <si>
    <t>Bamboo-Pattern Stainless Mug</t>
  </si>
  <si>
    <t>不锈钢竹纹（纯钢）</t>
  </si>
  <si>
    <t>WP-407</t>
  </si>
  <si>
    <t>Double-Wall Stainless Desk Cup</t>
  </si>
  <si>
    <t>不锈钢双层桌杯</t>
  </si>
  <si>
    <t>WP-408</t>
  </si>
  <si>
    <t>Titanium Tea Infuser Cup</t>
  </si>
  <si>
    <r>
      <rPr>
        <i/>
        <sz val="9"/>
        <color rgb="FF666666"/>
        <rFont val="DejaVu Sans"/>
        <family val="2"/>
      </rPr>
      <t xml:space="preserve">钛茶滤杯 </t>
    </r>
    <r>
      <rPr>
        <i/>
        <sz val="9"/>
        <color rgb="FF666666"/>
        <rFont val="Cambria"/>
        <family val="1"/>
      </rPr>
      <t>480ml</t>
    </r>
  </si>
  <si>
    <r>
      <rPr>
        <b/>
        <sz val="14"/>
        <color rgb="FFB87333"/>
        <rFont val="DejaVu Sans"/>
        <family val="2"/>
      </rPr>
      <t xml:space="preserve">套件 </t>
    </r>
    <r>
      <rPr>
        <b/>
        <sz val="14"/>
        <color rgb="FFB87333"/>
        <rFont val="Arial"/>
        <family val="2"/>
      </rPr>
      <t xml:space="preserve">FOB </t>
    </r>
    <r>
      <rPr>
        <b/>
        <sz val="14"/>
        <color rgb="FFB87333"/>
        <rFont val="DejaVu Sans"/>
        <family val="2"/>
      </rPr>
      <t xml:space="preserve">成本计算 — </t>
    </r>
    <r>
      <rPr>
        <b/>
        <sz val="14"/>
        <color rgb="FFB87333"/>
        <rFont val="Arial"/>
        <family val="2"/>
      </rPr>
      <t xml:space="preserve">8 </t>
    </r>
    <r>
      <rPr>
        <b/>
        <sz val="14"/>
        <color rgb="FFB87333"/>
        <rFont val="DejaVu Sans"/>
        <family val="2"/>
      </rPr>
      <t>个套件，每个独立块</t>
    </r>
  </si>
  <si>
    <r>
      <rPr>
        <i/>
        <sz val="9"/>
        <color rgb="FF666666"/>
        <rFont val="DejaVu Sans"/>
        <family val="2"/>
      </rPr>
      <t xml:space="preserve">组件 </t>
    </r>
    <r>
      <rPr>
        <i/>
        <sz val="9"/>
        <color rgb="FF666666"/>
        <rFont val="Cambria"/>
        <family val="1"/>
      </rPr>
      <t xml:space="preserve">USD </t>
    </r>
    <r>
      <rPr>
        <i/>
        <sz val="9"/>
        <color rgb="FF666666"/>
        <rFont val="DejaVu Sans"/>
        <family val="2"/>
      </rPr>
      <t xml:space="preserve">自动从「单品成本」表 </t>
    </r>
    <r>
      <rPr>
        <i/>
        <sz val="9"/>
        <color rgb="FF666666"/>
        <rFont val="Cambria"/>
        <family val="1"/>
      </rPr>
      <t>VLOOKUP</t>
    </r>
    <r>
      <rPr>
        <i/>
        <sz val="9"/>
        <color rgb="FF666666"/>
        <rFont val="DejaVu Sans"/>
        <family val="2"/>
      </rPr>
      <t xml:space="preserve">；包装费 </t>
    </r>
    <r>
      <rPr>
        <i/>
        <sz val="9"/>
        <color rgb="FF666666"/>
        <rFont val="Cambria"/>
        <family val="1"/>
      </rPr>
      <t xml:space="preserve">/ </t>
    </r>
    <r>
      <rPr>
        <i/>
        <sz val="9"/>
        <color rgb="FF666666"/>
        <rFont val="DejaVu Sans"/>
        <family val="2"/>
      </rPr>
      <t xml:space="preserve">一次性费 </t>
    </r>
    <r>
      <rPr>
        <i/>
        <sz val="9"/>
        <color rgb="FF666666"/>
        <rFont val="Cambria"/>
        <family val="1"/>
      </rPr>
      <t xml:space="preserve">/ </t>
    </r>
    <r>
      <rPr>
        <i/>
        <sz val="9"/>
        <color rgb="FF666666"/>
        <rFont val="DejaVu Sans"/>
        <family val="2"/>
      </rPr>
      <t>加价</t>
    </r>
    <r>
      <rPr>
        <i/>
        <sz val="9"/>
        <color rgb="FF666666"/>
        <rFont val="Cambria"/>
        <family val="1"/>
      </rPr>
      <t xml:space="preserve">% </t>
    </r>
    <r>
      <rPr>
        <i/>
        <sz val="9"/>
        <color rgb="FF666666"/>
        <rFont val="DejaVu Sans"/>
        <family val="2"/>
      </rPr>
      <t>来自配置表。</t>
    </r>
    <r>
      <rPr>
        <i/>
        <sz val="9"/>
        <color rgb="FF666666"/>
        <rFont val="Cambria"/>
        <family val="1"/>
      </rPr>
      <t xml:space="preserve">FOB </t>
    </r>
    <r>
      <rPr>
        <i/>
        <sz val="9"/>
        <color rgb="FF666666"/>
        <rFont val="DejaVu Sans"/>
        <family val="2"/>
      </rPr>
      <t>自动计算。</t>
    </r>
  </si>
  <si>
    <t>WGS-001  ·  The Desk Starter</t>
  </si>
  <si>
    <r>
      <rPr>
        <b/>
        <sz val="10"/>
        <color rgb="FFFFFFFF"/>
        <rFont val="DejaVu Sans"/>
        <family val="2"/>
      </rPr>
      <t xml:space="preserve">单品 </t>
    </r>
    <r>
      <rPr>
        <b/>
        <sz val="10"/>
        <color rgb="FFFFFFFF"/>
        <rFont val="Arial"/>
        <family val="2"/>
      </rPr>
      <t>USD</t>
    </r>
    <r>
      <rPr>
        <b/>
        <sz val="10"/>
        <color rgb="FFFFFFFF"/>
        <rFont val="DejaVu Sans"/>
        <family val="2"/>
      </rPr>
      <t>（来自单品成本表）</t>
    </r>
  </si>
  <si>
    <t>数量</t>
  </si>
  <si>
    <r>
      <rPr>
        <b/>
        <sz val="10"/>
        <color rgb="FFFFFFFF"/>
        <rFont val="DejaVu Sans"/>
        <family val="2"/>
      </rPr>
      <t xml:space="preserve">小计 </t>
    </r>
    <r>
      <rPr>
        <b/>
        <sz val="10"/>
        <color rgb="FFFFFFFF"/>
        <rFont val="Arial"/>
        <family val="2"/>
      </rPr>
      <t>USD</t>
    </r>
  </si>
  <si>
    <r>
      <rPr>
        <sz val="10"/>
        <rFont val="Cambria"/>
        <family val="1"/>
      </rPr>
      <t xml:space="preserve">Inkless </t>
    </r>
    <r>
      <rPr>
        <sz val="10"/>
        <rFont val="DejaVu Sans"/>
        <family val="2"/>
      </rPr>
      <t>笔</t>
    </r>
  </si>
  <si>
    <t>锌开信刀</t>
  </si>
  <si>
    <t>金属书签</t>
  </si>
  <si>
    <r>
      <rPr>
        <b/>
        <sz val="10"/>
        <rFont val="DejaVu Sans"/>
        <family val="2"/>
      </rPr>
      <t xml:space="preserve">组件合计 </t>
    </r>
    <r>
      <rPr>
        <b/>
        <sz val="10"/>
        <rFont val="Cambria"/>
        <family val="1"/>
      </rPr>
      <t>(USD)</t>
    </r>
  </si>
  <si>
    <r>
      <rPr>
        <sz val="10"/>
        <rFont val="DejaVu Sans"/>
        <family val="2"/>
      </rPr>
      <t>包装：</t>
    </r>
    <r>
      <rPr>
        <sz val="10"/>
        <rFont val="Cambria"/>
        <family val="1"/>
      </rPr>
      <t>Drawer Rigid Box + EVA</t>
    </r>
  </si>
  <si>
    <r>
      <rPr>
        <sz val="10"/>
        <rFont val="DejaVu Sans"/>
        <family val="2"/>
      </rPr>
      <t>其他：</t>
    </r>
    <r>
      <rPr>
        <sz val="10"/>
        <rFont val="Cambria"/>
        <family val="1"/>
      </rPr>
      <t xml:space="preserve">CCPIT </t>
    </r>
    <r>
      <rPr>
        <sz val="10"/>
        <rFont val="DejaVu Sans"/>
        <family val="2"/>
      </rPr>
      <t xml:space="preserve">证书 </t>
    </r>
    <r>
      <rPr>
        <sz val="10"/>
        <rFont val="Cambria"/>
        <family val="1"/>
      </rPr>
      <t xml:space="preserve">+ </t>
    </r>
    <r>
      <rPr>
        <sz val="10"/>
        <rFont val="DejaVu Sans"/>
        <family val="2"/>
      </rPr>
      <t xml:space="preserve">单证 </t>
    </r>
    <r>
      <rPr>
        <sz val="10"/>
        <rFont val="Cambria"/>
        <family val="1"/>
      </rPr>
      <t>+ QC</t>
    </r>
    <r>
      <rPr>
        <sz val="10"/>
        <rFont val="DejaVu Sans"/>
        <family val="2"/>
      </rPr>
      <t>（每套分摊）</t>
    </r>
  </si>
  <si>
    <r>
      <rPr>
        <b/>
        <sz val="10"/>
        <rFont val="DejaVu Sans"/>
        <family val="2"/>
      </rPr>
      <t xml:space="preserve">直接成本合计 </t>
    </r>
    <r>
      <rPr>
        <b/>
        <sz val="10"/>
        <rFont val="Cambria"/>
        <family val="1"/>
      </rPr>
      <t>(USD)</t>
    </r>
  </si>
  <si>
    <r>
      <rPr>
        <sz val="10"/>
        <rFont val="Cambria"/>
        <family val="1"/>
      </rPr>
      <t xml:space="preserve">+ SOHO </t>
    </r>
    <r>
      <rPr>
        <sz val="10"/>
        <rFont val="DejaVu Sans"/>
        <family val="2"/>
      </rPr>
      <t xml:space="preserve">加价 </t>
    </r>
    <r>
      <rPr>
        <sz val="10"/>
        <rFont val="Cambria"/>
        <family val="1"/>
      </rPr>
      <t>(</t>
    </r>
    <r>
      <rPr>
        <sz val="10"/>
        <rFont val="DejaVu Sans"/>
        <family val="2"/>
      </rPr>
      <t>来自配置</t>
    </r>
    <r>
      <rPr>
        <sz val="10"/>
        <rFont val="Cambria"/>
        <family val="1"/>
      </rPr>
      <t>)</t>
    </r>
  </si>
  <si>
    <t>★ FOB Shanghai per set (USD)</t>
  </si>
  <si>
    <t>WGS-002  ·  The Mechanical Desk</t>
  </si>
  <si>
    <t>黄铜螺旋笔</t>
  </si>
  <si>
    <t>螺旋开信刀</t>
  </si>
  <si>
    <t>折叠铝支架</t>
  </si>
  <si>
    <r>
      <rPr>
        <sz val="10"/>
        <rFont val="DejaVu Sans"/>
        <family val="2"/>
      </rPr>
      <t>包装：</t>
    </r>
    <r>
      <rPr>
        <sz val="10"/>
        <rFont val="Cambria"/>
        <family val="1"/>
      </rPr>
      <t>Magnetic Box + EVA + Foil</t>
    </r>
  </si>
  <si>
    <t>WGS-003  ·  The Pocket Three</t>
  </si>
  <si>
    <r>
      <rPr>
        <sz val="10"/>
        <rFont val="DejaVu Sans"/>
        <family val="2"/>
      </rPr>
      <t>包装：</t>
    </r>
    <r>
      <rPr>
        <sz val="10"/>
        <rFont val="Cambria"/>
        <family val="1"/>
      </rPr>
      <t>Tin Box</t>
    </r>
  </si>
  <si>
    <t>WGS-004  ·  The Field EDC</t>
  </si>
  <si>
    <t>战术不锈钢笔</t>
  </si>
  <si>
    <t>撬棒</t>
  </si>
  <si>
    <t>折叠剪</t>
  </si>
  <si>
    <r>
      <rPr>
        <sz val="10"/>
        <rFont val="DejaVu Sans"/>
        <family val="2"/>
      </rPr>
      <t>包装：</t>
    </r>
    <r>
      <rPr>
        <sz val="10"/>
        <rFont val="Cambria"/>
        <family val="1"/>
      </rPr>
      <t>Drawer Box / Tin Box</t>
    </r>
  </si>
  <si>
    <t>WGS-005  ·  The Morning Ritual</t>
  </si>
  <si>
    <r>
      <rPr>
        <sz val="10"/>
        <rFont val="DejaVu Sans"/>
        <family val="2"/>
      </rPr>
      <t xml:space="preserve">钛胶囊瓶 </t>
    </r>
    <r>
      <rPr>
        <sz val="10"/>
        <rFont val="Cambria"/>
        <family val="1"/>
      </rPr>
      <t>150ml</t>
    </r>
  </si>
  <si>
    <t>钛钥匙扣</t>
  </si>
  <si>
    <r>
      <rPr>
        <sz val="10"/>
        <rFont val="DejaVu Sans"/>
        <family val="2"/>
      </rPr>
      <t>包装：</t>
    </r>
    <r>
      <rPr>
        <sz val="10"/>
        <rFont val="Cambria"/>
        <family val="1"/>
      </rPr>
      <t>Magnetic Box + EVA</t>
    </r>
  </si>
  <si>
    <t>WGS-006  ·  The First Day</t>
  </si>
  <si>
    <r>
      <rPr>
        <sz val="10"/>
        <rFont val="Cambria"/>
        <family val="1"/>
      </rPr>
      <t xml:space="preserve">RFID </t>
    </r>
    <r>
      <rPr>
        <sz val="10"/>
        <rFont val="DejaVu Sans"/>
        <family val="2"/>
      </rPr>
      <t>卡套</t>
    </r>
  </si>
  <si>
    <r>
      <rPr>
        <sz val="10"/>
        <rFont val="Cambria"/>
        <family val="1"/>
      </rPr>
      <t xml:space="preserve">6-in-1 </t>
    </r>
    <r>
      <rPr>
        <sz val="10"/>
        <rFont val="DejaVu Sans"/>
        <family val="2"/>
      </rPr>
      <t>笔</t>
    </r>
  </si>
  <si>
    <t>铝笔架</t>
  </si>
  <si>
    <r>
      <rPr>
        <sz val="10"/>
        <rFont val="DejaVu Sans"/>
        <family val="2"/>
      </rPr>
      <t>包装：</t>
    </r>
    <r>
      <rPr>
        <sz val="10"/>
        <rFont val="Cambria"/>
        <family val="1"/>
      </rPr>
      <t>Rigid Lid Box + EVA</t>
    </r>
  </si>
  <si>
    <t>WGS-007  ·  The Thinking Desk</t>
  </si>
  <si>
    <t>不锈钢桌杯</t>
  </si>
  <si>
    <t>WGS-008  ·  The Quartet</t>
  </si>
  <si>
    <t>不锈钢卡盒</t>
  </si>
  <si>
    <t>钛茶滤杯</t>
  </si>
  <si>
    <r>
      <rPr>
        <sz val="10"/>
        <rFont val="DejaVu Sans"/>
        <family val="2"/>
      </rPr>
      <t>包装：</t>
    </r>
    <r>
      <rPr>
        <sz val="10"/>
        <rFont val="Cambria"/>
        <family val="1"/>
      </rPr>
      <t>Magnetic Box + Soft-Touch + EVA</t>
    </r>
  </si>
  <si>
    <t>NZ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</si>
</sst>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%"/>
    <numFmt numFmtId="177" formatCode="0.00000"/>
    <numFmt numFmtId="178" formatCode="\$0.00"/>
    <numFmt numFmtId="179" formatCode="0.000"/>
    <numFmt numFmtId="180" formatCode="\$#,##0"/>
    <numFmt numFmtId="181" formatCode="\$0.0000"/>
  </numFmts>
  <fonts count="27">
    <font>
      <sz val="11"/>
      <color theme="1"/>
      <name val="Calibri"/>
      <family val="2"/>
      <charset val="1"/>
    </font>
    <font>
      <b/>
      <sz val="14"/>
      <color rgb="FFB87333"/>
      <name val="Arial"/>
      <family val="2"/>
    </font>
    <font>
      <b/>
      <sz val="14"/>
      <color rgb="FFB87333"/>
      <name val="DejaVu Sans"/>
      <family val="2"/>
    </font>
    <font>
      <b/>
      <sz val="10"/>
      <name val="DejaVu Sans"/>
      <family val="2"/>
    </font>
    <font>
      <i/>
      <sz val="10"/>
      <color rgb="FF555555"/>
      <name val="DejaVu Sans"/>
      <family val="2"/>
    </font>
    <font>
      <i/>
      <sz val="10"/>
      <color rgb="FF555555"/>
      <name val="Cambria"/>
      <family val="1"/>
    </font>
    <font>
      <b/>
      <sz val="12"/>
      <color rgb="FF000000"/>
      <name val="DejaVu Sans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i/>
      <sz val="9"/>
      <color rgb="FF666666"/>
      <name val="Cambria"/>
      <family val="1"/>
    </font>
    <font>
      <i/>
      <sz val="9"/>
      <color rgb="FF666666"/>
      <name val="DejaVu Sans"/>
      <family val="2"/>
    </font>
    <font>
      <b/>
      <sz val="12"/>
      <color rgb="FF000000"/>
      <name val="Arial"/>
      <family val="2"/>
    </font>
    <font>
      <b/>
      <sz val="10"/>
      <color rgb="FFFFFFFF"/>
      <name val="DejaVu Sans"/>
      <family val="2"/>
    </font>
    <font>
      <b/>
      <sz val="10"/>
      <color rgb="FFFFFFFF"/>
      <name val="Arial"/>
      <family val="2"/>
    </font>
    <font>
      <b/>
      <sz val="12"/>
      <name val="DejaVu Sans"/>
      <family val="2"/>
    </font>
    <font>
      <b/>
      <sz val="12"/>
      <name val="Cambria"/>
      <family val="1"/>
    </font>
    <font>
      <b/>
      <sz val="11"/>
      <color rgb="FF0000FF"/>
      <name val="Arial"/>
      <family val="2"/>
    </font>
    <font>
      <b/>
      <sz val="11"/>
      <name val="Cambria"/>
      <family val="1"/>
    </font>
    <font>
      <sz val="10"/>
      <name val="Cambria"/>
      <family val="1"/>
    </font>
    <font>
      <sz val="10"/>
      <name val="DejaVu Sans"/>
      <family val="2"/>
    </font>
    <font>
      <b/>
      <sz val="11"/>
      <name val="DejaVu Sans"/>
      <family val="2"/>
    </font>
    <font>
      <b/>
      <sz val="10"/>
      <name val="Cambria"/>
      <family val="1"/>
    </font>
    <font>
      <sz val="9"/>
      <color rgb="FF555555"/>
      <name val="Cambria"/>
      <family val="1"/>
    </font>
    <font>
      <sz val="9"/>
      <color rgb="FF555555"/>
      <name val="DejaVu Sans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sz val="9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F4F1EC"/>
        <bgColor rgb="FFFFFFFF"/>
      </patternFill>
    </fill>
    <fill>
      <patternFill patternType="solid">
        <fgColor rgb="FFFFFFCC"/>
        <bgColor rgb="FFF4F1EC"/>
      </patternFill>
    </fill>
    <fill>
      <patternFill patternType="solid">
        <fgColor rgb="FFB87333"/>
        <bgColor rgb="FF808080"/>
      </patternFill>
    </fill>
    <fill>
      <patternFill patternType="solid">
        <fgColor rgb="FFD4EDDA"/>
        <bgColor rgb="FFCCE5FF"/>
      </patternFill>
    </fill>
    <fill>
      <patternFill patternType="solid">
        <fgColor rgb="FFCCE5FF"/>
        <bgColor rgb="FFD4EDDA"/>
      </patternFill>
    </fill>
    <fill>
      <patternFill patternType="solid">
        <fgColor rgb="FFF8D7DA"/>
        <bgColor rgb="FFFFE4B5"/>
      </patternFill>
    </fill>
    <fill>
      <patternFill patternType="solid">
        <fgColor rgb="FFFFE4B5"/>
        <bgColor rgb="FFF8D7DA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9" fillId="0" borderId="0" xfId="0" applyFont="1"/>
    <xf numFmtId="0" fontId="10" fillId="0" borderId="0" xfId="0" applyFont="1"/>
    <xf numFmtId="0" fontId="3" fillId="0" borderId="0" xfId="0" applyFont="1"/>
    <xf numFmtId="0" fontId="7" fillId="0" borderId="0" xfId="0" applyFont="1"/>
    <xf numFmtId="2" fontId="8" fillId="3" borderId="1" xfId="0" applyNumberFormat="1" applyFont="1" applyFill="1" applyBorder="1"/>
    <xf numFmtId="176" fontId="8" fillId="3" borderId="1" xfId="0" applyNumberFormat="1" applyFont="1" applyFill="1" applyBorder="1"/>
    <xf numFmtId="0" fontId="12" fillId="4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0" fontId="8" fillId="3" borderId="1" xfId="0" applyNumberFormat="1" applyFont="1" applyFill="1" applyBorder="1"/>
    <xf numFmtId="0" fontId="16" fillId="3" borderId="1" xfId="0" applyFont="1" applyFill="1" applyBorder="1" applyAlignment="1">
      <alignment horizontal="center" vertical="center"/>
    </xf>
    <xf numFmtId="3" fontId="16" fillId="3" borderId="1" xfId="0" applyNumberFormat="1" applyFont="1" applyFill="1" applyBorder="1" applyAlignment="1">
      <alignment horizontal="center" vertical="center"/>
    </xf>
    <xf numFmtId="177" fontId="16" fillId="3" borderId="1" xfId="0" applyNumberFormat="1" applyFont="1" applyFill="1" applyBorder="1" applyAlignment="1">
      <alignment horizontal="center" vertical="center"/>
    </xf>
    <xf numFmtId="0" fontId="17" fillId="5" borderId="0" xfId="0" applyFont="1" applyFill="1"/>
    <xf numFmtId="178" fontId="17" fillId="5" borderId="1" xfId="0" applyNumberFormat="1" applyFont="1" applyFill="1" applyBorder="1"/>
    <xf numFmtId="0" fontId="18" fillId="0" borderId="0" xfId="0" applyFont="1"/>
    <xf numFmtId="177" fontId="0" fillId="0" borderId="1" xfId="0" applyNumberFormat="1" applyBorder="1"/>
    <xf numFmtId="177" fontId="12" fillId="4" borderId="1" xfId="0" applyNumberFormat="1" applyFont="1" applyFill="1" applyBorder="1" applyAlignment="1">
      <alignment horizontal="center" vertical="center" wrapText="1"/>
    </xf>
    <xf numFmtId="0" fontId="19" fillId="0" borderId="0" xfId="0" applyFont="1"/>
    <xf numFmtId="179" fontId="0" fillId="0" borderId="1" xfId="0" applyNumberFormat="1" applyBorder="1"/>
    <xf numFmtId="0" fontId="17" fillId="5" borderId="1" xfId="0" applyFont="1" applyFill="1" applyBorder="1"/>
    <xf numFmtId="178" fontId="16" fillId="5" borderId="1" xfId="0" applyNumberFormat="1" applyFont="1" applyFill="1" applyBorder="1" applyAlignment="1">
      <alignment horizontal="center" vertical="center"/>
    </xf>
    <xf numFmtId="180" fontId="17" fillId="5" borderId="1" xfId="0" applyNumberFormat="1" applyFont="1" applyFill="1" applyBorder="1"/>
    <xf numFmtId="178" fontId="0" fillId="0" borderId="1" xfId="0" applyNumberFormat="1" applyBorder="1"/>
    <xf numFmtId="0" fontId="17" fillId="6" borderId="1" xfId="0" applyFont="1" applyFill="1" applyBorder="1"/>
    <xf numFmtId="178" fontId="16" fillId="6" borderId="1" xfId="0" applyNumberFormat="1" applyFont="1" applyFill="1" applyBorder="1" applyAlignment="1">
      <alignment horizontal="center" vertical="center"/>
    </xf>
    <xf numFmtId="180" fontId="17" fillId="6" borderId="1" xfId="0" applyNumberFormat="1" applyFont="1" applyFill="1" applyBorder="1"/>
    <xf numFmtId="181" fontId="0" fillId="0" borderId="1" xfId="0" applyNumberFormat="1" applyBorder="1"/>
    <xf numFmtId="0" fontId="17" fillId="7" borderId="1" xfId="0" applyFont="1" applyFill="1" applyBorder="1"/>
    <xf numFmtId="178" fontId="0" fillId="7" borderId="1" xfId="0" applyNumberFormat="1" applyFill="1" applyBorder="1"/>
    <xf numFmtId="180" fontId="17" fillId="7" borderId="1" xfId="0" applyNumberFormat="1" applyFont="1" applyFill="1" applyBorder="1"/>
    <xf numFmtId="0" fontId="17" fillId="6" borderId="0" xfId="0" applyFont="1" applyFill="1"/>
    <xf numFmtId="178" fontId="17" fillId="6" borderId="1" xfId="0" applyNumberFormat="1" applyFont="1" applyFill="1" applyBorder="1"/>
    <xf numFmtId="10" fontId="0" fillId="0" borderId="1" xfId="0" applyNumberFormat="1" applyBorder="1"/>
    <xf numFmtId="0" fontId="17" fillId="7" borderId="0" xfId="0" applyFont="1" applyFill="1"/>
    <xf numFmtId="178" fontId="17" fillId="7" borderId="1" xfId="0" applyNumberFormat="1" applyFont="1" applyFill="1" applyBorder="1"/>
    <xf numFmtId="2" fontId="24" fillId="0" borderId="1" xfId="0" applyNumberFormat="1" applyFont="1" applyBorder="1"/>
    <xf numFmtId="178" fontId="24" fillId="0" borderId="1" xfId="0" applyNumberFormat="1" applyFont="1" applyBorder="1"/>
    <xf numFmtId="178" fontId="8" fillId="3" borderId="1" xfId="0" applyNumberFormat="1" applyFont="1" applyFill="1" applyBorder="1"/>
    <xf numFmtId="178" fontId="7" fillId="0" borderId="1" xfId="0" applyNumberFormat="1" applyFont="1" applyBorder="1"/>
    <xf numFmtId="0" fontId="8" fillId="3" borderId="1" xfId="0" applyFont="1" applyFill="1" applyBorder="1" applyAlignment="1">
      <alignment horizontal="center"/>
    </xf>
    <xf numFmtId="178" fontId="21" fillId="0" borderId="1" xfId="0" applyNumberFormat="1" applyFont="1" applyBorder="1"/>
    <xf numFmtId="0" fontId="25" fillId="8" borderId="2" xfId="0" applyFont="1" applyFill="1" applyBorder="1"/>
    <xf numFmtId="178" fontId="25" fillId="8" borderId="2" xfId="0" applyNumberFormat="1" applyFont="1" applyFill="1" applyBorder="1"/>
    <xf numFmtId="0" fontId="1" fillId="0" borderId="0" xfId="0" applyFont="1"/>
    <xf numFmtId="0" fontId="4" fillId="0" borderId="0" xfId="0" applyFont="1"/>
    <xf numFmtId="0" fontId="6" fillId="2" borderId="0" xfId="0" applyFont="1" applyFill="1" applyAlignment="1">
      <alignment horizontal="left" vertical="center"/>
    </xf>
    <xf numFmtId="0" fontId="22" fillId="0" borderId="0" xfId="0" applyFont="1"/>
    <xf numFmtId="0" fontId="14" fillId="2" borderId="0" xfId="0" applyFont="1" applyFill="1"/>
    <xf numFmtId="0" fontId="2" fillId="0" borderId="0" xfId="0" applyFont="1"/>
    <xf numFmtId="0" fontId="10" fillId="0" borderId="0" xfId="0" applyFont="1"/>
    <xf numFmtId="0" fontId="9" fillId="0" borderId="0" xfId="0" applyFont="1"/>
    <xf numFmtId="0" fontId="25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7333"/>
      <rgbColor rgb="FF800080"/>
      <rgbColor rgb="FF008080"/>
      <rgbColor rgb="FFF8D7DA"/>
      <rgbColor rgb="FF808080"/>
      <rgbColor rgb="FF9999FF"/>
      <rgbColor rgb="FF993366"/>
      <rgbColor rgb="FFFFFFCC"/>
      <rgbColor rgb="FFF4F1EC"/>
      <rgbColor rgb="FF660066"/>
      <rgbColor rgb="FFFF8080"/>
      <rgbColor rgb="FF0066CC"/>
      <rgbColor rgb="FFCCE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FE4B5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zoomScaleNormal="100" workbookViewId="0">
      <selection activeCell="D18" sqref="D18"/>
    </sheetView>
  </sheetViews>
  <sheetFormatPr defaultColWidth="8.6328125" defaultRowHeight="14.5"/>
  <cols>
    <col min="1" max="1" width="22" customWidth="1"/>
    <col min="2" max="2" width="32" customWidth="1"/>
    <col min="3" max="3" width="18" customWidth="1"/>
    <col min="4" max="4" width="16" customWidth="1"/>
    <col min="5" max="5" width="18" customWidth="1"/>
    <col min="6" max="6" width="14" customWidth="1"/>
  </cols>
  <sheetData>
    <row r="1" spans="1:6" ht="18">
      <c r="A1" s="45" t="s">
        <v>0</v>
      </c>
      <c r="B1" s="45"/>
      <c r="C1" s="45"/>
      <c r="D1" s="45"/>
    </row>
    <row r="3" spans="1:6">
      <c r="A3" s="3" t="s">
        <v>1</v>
      </c>
      <c r="B3" s="46" t="s">
        <v>2</v>
      </c>
      <c r="C3" s="46"/>
      <c r="D3" s="46"/>
      <c r="E3" s="46"/>
      <c r="F3" s="46"/>
    </row>
    <row r="5" spans="1:6" ht="15.5">
      <c r="A5" s="47" t="s">
        <v>3</v>
      </c>
      <c r="B5" s="47"/>
      <c r="C5" s="47"/>
      <c r="D5" s="47"/>
    </row>
    <row r="6" spans="1:6">
      <c r="A6" s="4" t="s">
        <v>4</v>
      </c>
      <c r="B6" s="5">
        <v>6.77</v>
      </c>
      <c r="C6" s="1" t="s">
        <v>5</v>
      </c>
    </row>
    <row r="7" spans="1:6">
      <c r="A7" s="4" t="s">
        <v>6</v>
      </c>
      <c r="B7" s="6">
        <v>0.13</v>
      </c>
      <c r="C7" s="2" t="s">
        <v>7</v>
      </c>
    </row>
    <row r="8" spans="1:6">
      <c r="A8" s="4" t="s">
        <v>8</v>
      </c>
      <c r="B8" s="6">
        <v>0.3</v>
      </c>
      <c r="C8" s="2" t="s">
        <v>9</v>
      </c>
    </row>
    <row r="9" spans="1:6">
      <c r="A9" s="3" t="s">
        <v>10</v>
      </c>
      <c r="B9" s="5">
        <v>120</v>
      </c>
      <c r="C9" s="1" t="s">
        <v>11</v>
      </c>
    </row>
    <row r="10" spans="1:6">
      <c r="A10" s="4" t="s">
        <v>12</v>
      </c>
      <c r="B10" s="5">
        <v>120</v>
      </c>
      <c r="C10" s="2" t="s">
        <v>13</v>
      </c>
    </row>
    <row r="11" spans="1:6">
      <c r="A11" s="3" t="s">
        <v>14</v>
      </c>
      <c r="B11" s="6">
        <v>1E-3</v>
      </c>
      <c r="C11" s="2" t="s">
        <v>15</v>
      </c>
    </row>
    <row r="12" spans="1:6">
      <c r="A12" s="4" t="s">
        <v>16</v>
      </c>
      <c r="B12" s="5">
        <v>200</v>
      </c>
      <c r="C12" s="2" t="s">
        <v>17</v>
      </c>
    </row>
    <row r="13" spans="1:6">
      <c r="A13" s="4" t="s">
        <v>18</v>
      </c>
      <c r="B13" s="5">
        <v>50</v>
      </c>
      <c r="C13" s="2" t="s">
        <v>19</v>
      </c>
    </row>
    <row r="16" spans="1:6" ht="15.5">
      <c r="A16" s="47" t="s">
        <v>20</v>
      </c>
      <c r="B16" s="47"/>
      <c r="C16" s="47"/>
      <c r="D16" s="47"/>
      <c r="E16" s="47"/>
      <c r="F16" s="47"/>
    </row>
    <row r="17" spans="1:6">
      <c r="A17" s="7" t="s">
        <v>21</v>
      </c>
      <c r="B17" s="7" t="s">
        <v>22</v>
      </c>
      <c r="C17" s="7" t="s">
        <v>23</v>
      </c>
      <c r="D17" s="7" t="s">
        <v>24</v>
      </c>
      <c r="E17" s="7" t="s">
        <v>25</v>
      </c>
      <c r="F17" s="8" t="s">
        <v>26</v>
      </c>
    </row>
    <row r="18" spans="1:6">
      <c r="A18" s="9" t="s">
        <v>27</v>
      </c>
      <c r="B18" t="s">
        <v>28</v>
      </c>
      <c r="C18" s="5">
        <v>280</v>
      </c>
      <c r="D18" s="10">
        <v>0</v>
      </c>
      <c r="E18" s="5">
        <v>100</v>
      </c>
      <c r="F18" s="10">
        <v>0.1</v>
      </c>
    </row>
    <row r="19" spans="1:6">
      <c r="A19" s="9" t="s">
        <v>29</v>
      </c>
      <c r="B19" t="s">
        <v>30</v>
      </c>
      <c r="C19" s="5">
        <v>282</v>
      </c>
      <c r="D19" s="10">
        <v>0</v>
      </c>
      <c r="E19" s="5">
        <v>96</v>
      </c>
      <c r="F19" s="10">
        <v>0.15</v>
      </c>
    </row>
    <row r="20" spans="1:6">
      <c r="A20" s="9" t="s">
        <v>31</v>
      </c>
      <c r="B20" t="s">
        <v>32</v>
      </c>
      <c r="C20" s="5">
        <v>200</v>
      </c>
      <c r="D20" s="10">
        <v>0</v>
      </c>
      <c r="E20" s="5">
        <v>60</v>
      </c>
      <c r="F20" s="10">
        <v>0.09</v>
      </c>
    </row>
    <row r="21" spans="1:6">
      <c r="A21" s="9" t="s">
        <v>33</v>
      </c>
      <c r="B21" t="s">
        <v>34</v>
      </c>
      <c r="C21" s="5">
        <v>250</v>
      </c>
      <c r="D21" s="10">
        <v>0.05</v>
      </c>
      <c r="E21" s="5">
        <v>80</v>
      </c>
      <c r="F21" s="10">
        <v>0.05</v>
      </c>
    </row>
    <row r="22" spans="1:6">
      <c r="A22" s="9" t="s">
        <v>35</v>
      </c>
      <c r="B22" t="s">
        <v>36</v>
      </c>
      <c r="C22" s="5">
        <v>180</v>
      </c>
      <c r="D22" s="10">
        <v>0</v>
      </c>
      <c r="E22" s="5">
        <v>50</v>
      </c>
      <c r="F22" s="10">
        <v>0</v>
      </c>
    </row>
    <row r="23" spans="1:6">
      <c r="A23" s="9" t="s">
        <v>37</v>
      </c>
      <c r="B23" t="s">
        <v>38</v>
      </c>
      <c r="C23" s="5">
        <v>320</v>
      </c>
      <c r="D23" s="10">
        <v>0</v>
      </c>
      <c r="E23" s="5">
        <v>130</v>
      </c>
      <c r="F23" s="10">
        <v>7.6999999999999999E-2</v>
      </c>
    </row>
    <row r="24" spans="1:6">
      <c r="A24" s="9" t="s">
        <v>39</v>
      </c>
      <c r="B24" t="s">
        <v>40</v>
      </c>
      <c r="C24" s="5">
        <v>300</v>
      </c>
      <c r="D24" s="10">
        <v>0.04</v>
      </c>
      <c r="E24" s="5">
        <v>110</v>
      </c>
      <c r="F24" s="10">
        <v>0.2</v>
      </c>
    </row>
    <row r="25" spans="1:6">
      <c r="A25" s="9" t="s">
        <v>41</v>
      </c>
      <c r="B25" t="s">
        <v>42</v>
      </c>
      <c r="C25" s="5">
        <v>260</v>
      </c>
      <c r="D25" s="10">
        <v>0.05</v>
      </c>
      <c r="E25" s="5">
        <v>90</v>
      </c>
      <c r="F25" s="10">
        <v>0.15</v>
      </c>
    </row>
  </sheetData>
  <mergeCells count="4">
    <mergeCell ref="A1:D1"/>
    <mergeCell ref="B3:F3"/>
    <mergeCell ref="A5:D5"/>
    <mergeCell ref="A16:F16"/>
  </mergeCells>
  <phoneticPr fontId="2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topLeftCell="A10" zoomScaleNormal="100" workbookViewId="0">
      <selection activeCell="B13" sqref="B13"/>
    </sheetView>
  </sheetViews>
  <sheetFormatPr defaultColWidth="8.6328125" defaultRowHeight="14.5"/>
  <cols>
    <col min="1" max="1" width="28" customWidth="1"/>
    <col min="2" max="2" width="18" customWidth="1"/>
    <col min="3" max="3" width="4" customWidth="1"/>
    <col min="4" max="4" width="18" customWidth="1"/>
    <col min="5" max="5" width="14" customWidth="1"/>
    <col min="6" max="6" width="18" customWidth="1"/>
  </cols>
  <sheetData>
    <row r="1" spans="1:8" ht="18">
      <c r="A1" s="50" t="s">
        <v>43</v>
      </c>
      <c r="B1" s="50"/>
      <c r="C1" s="50"/>
      <c r="D1" s="50"/>
      <c r="E1" s="50"/>
      <c r="F1" s="50"/>
      <c r="G1" s="50"/>
      <c r="H1" s="50"/>
    </row>
    <row r="3" spans="1:8">
      <c r="A3" s="3" t="s">
        <v>1</v>
      </c>
      <c r="B3" s="51" t="s">
        <v>44</v>
      </c>
      <c r="C3" s="51"/>
      <c r="D3" s="51"/>
      <c r="E3" s="51"/>
      <c r="F3" s="51"/>
      <c r="G3" s="51"/>
      <c r="H3" s="51"/>
    </row>
    <row r="5" spans="1:8" ht="15.5">
      <c r="A5" s="49" t="s">
        <v>45</v>
      </c>
      <c r="B5" s="49"/>
      <c r="D5" s="49" t="s">
        <v>46</v>
      </c>
      <c r="E5" s="49"/>
      <c r="F5" s="49"/>
    </row>
    <row r="6" spans="1:8">
      <c r="A6" s="3" t="s">
        <v>47</v>
      </c>
      <c r="B6" s="11" t="s">
        <v>48</v>
      </c>
      <c r="D6" s="8" t="s">
        <v>49</v>
      </c>
      <c r="E6" s="8" t="s">
        <v>50</v>
      </c>
      <c r="F6" s="7" t="s">
        <v>51</v>
      </c>
    </row>
    <row r="7" spans="1:8">
      <c r="A7" s="3" t="s">
        <v>52</v>
      </c>
      <c r="B7" s="12">
        <v>100</v>
      </c>
      <c r="D7" t="s">
        <v>48</v>
      </c>
      <c r="E7" s="13">
        <v>2.2499999999999998E-3</v>
      </c>
      <c r="F7" s="1" t="s">
        <v>53</v>
      </c>
    </row>
    <row r="8" spans="1:8">
      <c r="A8" s="3" t="s">
        <v>54</v>
      </c>
      <c r="B8" s="11" t="s">
        <v>227</v>
      </c>
      <c r="D8" t="s">
        <v>55</v>
      </c>
      <c r="E8" s="13">
        <v>2.47E-3</v>
      </c>
      <c r="F8" s="1" t="s">
        <v>56</v>
      </c>
    </row>
    <row r="9" spans="1:8">
      <c r="D9" t="s">
        <v>57</v>
      </c>
      <c r="E9" s="13">
        <v>1.5E-3</v>
      </c>
      <c r="F9" s="1" t="s">
        <v>58</v>
      </c>
    </row>
    <row r="10" spans="1:8" ht="15.5">
      <c r="A10" s="49" t="s">
        <v>59</v>
      </c>
      <c r="B10" s="49"/>
      <c r="C10" s="49"/>
      <c r="D10" s="49"/>
      <c r="E10" s="49"/>
      <c r="F10" s="49"/>
    </row>
    <row r="11" spans="1:8" ht="15.5">
      <c r="A11" s="14" t="s">
        <v>60</v>
      </c>
      <c r="B11" s="15">
        <f ca="1">INDIRECT("FOB_" &amp; SUBSTITUTE(B6,"-","_"))</f>
        <v>11.778107737153764</v>
      </c>
      <c r="D11" s="49" t="s">
        <v>61</v>
      </c>
      <c r="E11" s="49"/>
      <c r="F11" s="49"/>
    </row>
    <row r="12" spans="1:8">
      <c r="A12" s="16" t="s">
        <v>62</v>
      </c>
      <c r="B12" s="17">
        <f>VLOOKUP(B6,D7:E14,2,FALSE())</f>
        <v>2.2499999999999998E-3</v>
      </c>
      <c r="D12" s="7" t="s">
        <v>63</v>
      </c>
      <c r="E12" s="18" t="s">
        <v>64</v>
      </c>
      <c r="F12" s="7" t="s">
        <v>65</v>
      </c>
    </row>
    <row r="13" spans="1:8">
      <c r="A13" s="19" t="s">
        <v>66</v>
      </c>
      <c r="B13" s="20">
        <f>B12*B7*1.3</f>
        <v>0.29249999999999998</v>
      </c>
      <c r="D13" s="21" t="s">
        <v>67</v>
      </c>
      <c r="E13" s="22">
        <f ca="1">B11</f>
        <v>11.778107737153764</v>
      </c>
      <c r="F13" s="23">
        <f ca="1">B11*B7</f>
        <v>1177.8107737153764</v>
      </c>
    </row>
    <row r="14" spans="1:8">
      <c r="A14" s="19" t="s">
        <v>68</v>
      </c>
      <c r="B14" s="24">
        <f>MAX(B13*FREIGHT_CBM, LCL_MIN)</f>
        <v>120</v>
      </c>
      <c r="D14" s="25" t="s">
        <v>69</v>
      </c>
      <c r="E14" s="26">
        <f ca="1">B18</f>
        <v>12.989885844890917</v>
      </c>
      <c r="F14" s="27">
        <f ca="1">B18*B7</f>
        <v>1298.9885844890916</v>
      </c>
    </row>
    <row r="15" spans="1:8">
      <c r="A15" s="19" t="s">
        <v>70</v>
      </c>
      <c r="B15" s="28">
        <f>B14/B7</f>
        <v>1.2</v>
      </c>
      <c r="D15" s="29" t="s">
        <v>71</v>
      </c>
      <c r="E15" s="30">
        <f ca="1">B25</f>
        <v>16.769885844890918</v>
      </c>
      <c r="F15" s="31">
        <f ca="1">B25*B7</f>
        <v>1676.9885844890919</v>
      </c>
    </row>
    <row r="16" spans="1:8">
      <c r="A16" s="19" t="s">
        <v>72</v>
      </c>
      <c r="B16" s="24">
        <f ca="1">B11</f>
        <v>11.778107737153764</v>
      </c>
      <c r="D16" s="29" t="s">
        <v>73</v>
      </c>
      <c r="E16" s="30">
        <f ca="1">B27</f>
        <v>19.285368721624554</v>
      </c>
      <c r="F16" s="31">
        <f ca="1">B27*B7</f>
        <v>1928.5368721624554</v>
      </c>
    </row>
    <row r="17" spans="1:6">
      <c r="A17" s="19" t="s">
        <v>74</v>
      </c>
      <c r="B17" s="28">
        <f ca="1">B16*INS_RATE</f>
        <v>1.1778107737153765E-2</v>
      </c>
    </row>
    <row r="18" spans="1:6">
      <c r="A18" s="32" t="s">
        <v>75</v>
      </c>
      <c r="B18" s="33">
        <f ca="1">B11+B15+B17</f>
        <v>12.989885844890917</v>
      </c>
    </row>
    <row r="19" spans="1:6">
      <c r="A19" s="19" t="s">
        <v>76</v>
      </c>
      <c r="B19" s="24">
        <f>VLOOKUP(B8,'⚙️ 配置'!$A$18:$F$25,3,FALSE())</f>
        <v>282</v>
      </c>
    </row>
    <row r="20" spans="1:6">
      <c r="A20" s="19" t="s">
        <v>77</v>
      </c>
      <c r="B20" s="28">
        <f>B19/B7</f>
        <v>2.82</v>
      </c>
    </row>
    <row r="21" spans="1:6">
      <c r="A21" s="19" t="s">
        <v>78</v>
      </c>
      <c r="B21" s="34">
        <f>VLOOKUP(B8,'⚙️ 配置'!$A$18:$F$25,4,FALSE())</f>
        <v>0</v>
      </c>
    </row>
    <row r="22" spans="1:6">
      <c r="A22" s="19" t="s">
        <v>79</v>
      </c>
      <c r="B22" s="24">
        <f ca="1">B18*B21</f>
        <v>0</v>
      </c>
    </row>
    <row r="23" spans="1:6">
      <c r="A23" s="19" t="s">
        <v>80</v>
      </c>
      <c r="B23" s="24">
        <f>VLOOKUP(B8,'⚙️ 配置'!$A$18:$F$25,5,FALSE())</f>
        <v>96</v>
      </c>
    </row>
    <row r="24" spans="1:6">
      <c r="A24" s="19" t="s">
        <v>81</v>
      </c>
      <c r="B24" s="28">
        <f>B23/B7</f>
        <v>0.96</v>
      </c>
    </row>
    <row r="25" spans="1:6">
      <c r="A25" s="35" t="s">
        <v>82</v>
      </c>
      <c r="B25" s="36">
        <f ca="1">B18+B20+B22+B24</f>
        <v>16.769885844890918</v>
      </c>
    </row>
    <row r="26" spans="1:6">
      <c r="A26" s="16" t="s">
        <v>83</v>
      </c>
      <c r="B26" s="34">
        <f>VLOOKUP(B8,'⚙️ 配置'!$A$18:$F$25,6,FALSE())</f>
        <v>0.15</v>
      </c>
    </row>
    <row r="27" spans="1:6">
      <c r="A27" s="35" t="s">
        <v>84</v>
      </c>
      <c r="B27" s="36">
        <f ca="1">B25*(1+B26)</f>
        <v>19.285368721624554</v>
      </c>
    </row>
    <row r="29" spans="1:6">
      <c r="A29" s="3" t="s">
        <v>85</v>
      </c>
    </row>
    <row r="30" spans="1:6">
      <c r="A30" s="48" t="s">
        <v>86</v>
      </c>
      <c r="B30" s="48"/>
      <c r="C30" s="48"/>
      <c r="D30" s="48"/>
      <c r="E30" s="48"/>
      <c r="F30" s="48"/>
    </row>
    <row r="31" spans="1:6">
      <c r="A31" s="48" t="s">
        <v>87</v>
      </c>
      <c r="B31" s="48"/>
      <c r="C31" s="48"/>
      <c r="D31" s="48"/>
      <c r="E31" s="48"/>
      <c r="F31" s="48"/>
    </row>
    <row r="32" spans="1:6">
      <c r="A32" s="48" t="s">
        <v>88</v>
      </c>
      <c r="B32" s="48"/>
      <c r="C32" s="48"/>
      <c r="D32" s="48"/>
      <c r="E32" s="48"/>
      <c r="F32" s="48"/>
    </row>
    <row r="33" spans="1:6">
      <c r="A33" s="48" t="s">
        <v>89</v>
      </c>
      <c r="B33" s="48"/>
      <c r="C33" s="48"/>
      <c r="D33" s="48"/>
      <c r="E33" s="48"/>
      <c r="F33" s="48"/>
    </row>
    <row r="34" spans="1:6">
      <c r="A34" s="48" t="s">
        <v>90</v>
      </c>
      <c r="B34" s="48"/>
      <c r="C34" s="48"/>
      <c r="D34" s="48"/>
      <c r="E34" s="48"/>
      <c r="F34" s="48"/>
    </row>
    <row r="35" spans="1:6">
      <c r="A35" s="48" t="s">
        <v>91</v>
      </c>
      <c r="B35" s="48"/>
      <c r="C35" s="48"/>
      <c r="D35" s="48"/>
      <c r="E35" s="48"/>
      <c r="F35" s="48"/>
    </row>
  </sheetData>
  <mergeCells count="12">
    <mergeCell ref="A1:H1"/>
    <mergeCell ref="B3:H3"/>
    <mergeCell ref="A5:B5"/>
    <mergeCell ref="D5:F5"/>
    <mergeCell ref="A10:F10"/>
    <mergeCell ref="A34:F34"/>
    <mergeCell ref="A35:F35"/>
    <mergeCell ref="D11:F11"/>
    <mergeCell ref="A30:F30"/>
    <mergeCell ref="A31:F31"/>
    <mergeCell ref="A32:F32"/>
    <mergeCell ref="A33:F33"/>
  </mergeCells>
  <phoneticPr fontId="26" type="noConversion"/>
  <dataValidations count="2">
    <dataValidation type="list" sqref="B6" xr:uid="{00000000-0002-0000-0100-000000000000}">
      <formula1>"WGS-001,WGS-002,WGS-003,WGS-004,WGS-005,WGS-006,WGS-007,WGS-008"</formula1>
      <formula2>0</formula2>
    </dataValidation>
    <dataValidation type="list" sqref="B8" xr:uid="{00000000-0002-0000-0100-000001000000}">
      <formula1>"AU,NZ,SG,AE,HK,CH,GB,SA"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"/>
  <sheetViews>
    <sheetView topLeftCell="A3" zoomScaleNormal="100" workbookViewId="0">
      <selection activeCell="F14" sqref="F14"/>
    </sheetView>
  </sheetViews>
  <sheetFormatPr defaultColWidth="8.6328125" defaultRowHeight="14.5"/>
  <cols>
    <col min="1" max="1" width="12" customWidth="1"/>
    <col min="2" max="2" width="36" customWidth="1"/>
    <col min="3" max="4" width="14" customWidth="1"/>
    <col min="5" max="5" width="12" customWidth="1"/>
    <col min="6" max="7" width="16" customWidth="1"/>
    <col min="8" max="8" width="24" customWidth="1"/>
  </cols>
  <sheetData>
    <row r="1" spans="1:8" ht="18">
      <c r="A1" s="50" t="s">
        <v>92</v>
      </c>
      <c r="B1" s="50"/>
      <c r="C1" s="50"/>
      <c r="D1" s="50"/>
      <c r="E1" s="50"/>
      <c r="F1" s="50"/>
      <c r="G1" s="50"/>
      <c r="H1" s="50"/>
    </row>
    <row r="3" spans="1:8">
      <c r="A3" s="3" t="s">
        <v>1</v>
      </c>
      <c r="B3" s="52" t="s">
        <v>93</v>
      </c>
      <c r="C3" s="52"/>
      <c r="D3" s="52"/>
      <c r="E3" s="52"/>
      <c r="F3" s="52"/>
      <c r="G3" s="52"/>
      <c r="H3" s="52"/>
    </row>
    <row r="5" spans="1:8" ht="26">
      <c r="A5" s="8" t="s">
        <v>49</v>
      </c>
      <c r="B5" s="7" t="s">
        <v>94</v>
      </c>
      <c r="C5" s="7" t="s">
        <v>95</v>
      </c>
      <c r="D5" s="7" t="s">
        <v>96</v>
      </c>
      <c r="E5" s="8" t="s">
        <v>97</v>
      </c>
      <c r="F5" s="8" t="s">
        <v>98</v>
      </c>
      <c r="G5" s="7" t="s">
        <v>99</v>
      </c>
      <c r="H5" s="7" t="s">
        <v>100</v>
      </c>
    </row>
    <row r="6" spans="1:8">
      <c r="A6" t="s">
        <v>101</v>
      </c>
      <c r="B6" t="s">
        <v>102</v>
      </c>
      <c r="C6" s="5">
        <v>50</v>
      </c>
      <c r="D6" s="37">
        <f t="shared" ref="D6:D33" si="0">C6/(1+VATRATE)</f>
        <v>44.247787610619476</v>
      </c>
      <c r="E6" s="38">
        <f t="shared" ref="E6:E33" si="1">D6/EXRATE</f>
        <v>6.5358622763101151</v>
      </c>
      <c r="F6" s="39">
        <v>0.4</v>
      </c>
      <c r="G6" s="40">
        <f t="shared" ref="G6:G33" si="2">E6+F6</f>
        <v>6.9358622763101154</v>
      </c>
      <c r="H6" s="2" t="s">
        <v>103</v>
      </c>
    </row>
    <row r="7" spans="1:8">
      <c r="A7" t="s">
        <v>104</v>
      </c>
      <c r="B7" t="s">
        <v>105</v>
      </c>
      <c r="C7" s="5">
        <v>11</v>
      </c>
      <c r="D7" s="37">
        <f>C7/(1+VATRATE)</f>
        <v>9.7345132743362832</v>
      </c>
      <c r="E7" s="38">
        <f t="shared" si="1"/>
        <v>1.437889700788225</v>
      </c>
      <c r="F7" s="39">
        <v>0.3</v>
      </c>
      <c r="G7" s="40">
        <f t="shared" si="2"/>
        <v>1.737889700788225</v>
      </c>
      <c r="H7" s="2" t="s">
        <v>106</v>
      </c>
    </row>
    <row r="8" spans="1:8">
      <c r="A8" t="s">
        <v>107</v>
      </c>
      <c r="B8" t="s">
        <v>108</v>
      </c>
      <c r="C8" s="5">
        <v>45</v>
      </c>
      <c r="D8" s="37">
        <f t="shared" si="0"/>
        <v>39.823008849557525</v>
      </c>
      <c r="E8" s="38">
        <f t="shared" si="1"/>
        <v>5.8822760486791026</v>
      </c>
      <c r="F8" s="39">
        <v>0.4</v>
      </c>
      <c r="G8" s="40">
        <f t="shared" si="2"/>
        <v>6.2822760486791029</v>
      </c>
      <c r="H8" s="1" t="s">
        <v>109</v>
      </c>
    </row>
    <row r="9" spans="1:8">
      <c r="A9" t="s">
        <v>110</v>
      </c>
      <c r="B9" t="s">
        <v>111</v>
      </c>
      <c r="C9" s="5">
        <v>38</v>
      </c>
      <c r="D9" s="37">
        <f t="shared" si="0"/>
        <v>33.628318584070797</v>
      </c>
      <c r="E9" s="38">
        <f t="shared" si="1"/>
        <v>4.9672553299956865</v>
      </c>
      <c r="F9" s="39">
        <v>0.4</v>
      </c>
      <c r="G9" s="40">
        <f t="shared" si="2"/>
        <v>5.3672553299956869</v>
      </c>
      <c r="H9" s="2" t="s">
        <v>112</v>
      </c>
    </row>
    <row r="10" spans="1:8">
      <c r="A10" t="s">
        <v>113</v>
      </c>
      <c r="B10" t="s">
        <v>114</v>
      </c>
      <c r="C10" s="5">
        <v>55</v>
      </c>
      <c r="D10" s="37">
        <f t="shared" si="0"/>
        <v>48.67256637168142</v>
      </c>
      <c r="E10" s="38">
        <f t="shared" si="1"/>
        <v>7.1894485039411258</v>
      </c>
      <c r="F10" s="39">
        <v>0.4</v>
      </c>
      <c r="G10" s="40">
        <f t="shared" si="2"/>
        <v>7.5894485039411261</v>
      </c>
      <c r="H10" s="2" t="s">
        <v>115</v>
      </c>
    </row>
    <row r="11" spans="1:8">
      <c r="A11" t="s">
        <v>116</v>
      </c>
      <c r="B11" t="s">
        <v>117</v>
      </c>
      <c r="C11" s="5">
        <v>52</v>
      </c>
      <c r="D11" s="37">
        <f t="shared" si="0"/>
        <v>46.017699115044252</v>
      </c>
      <c r="E11" s="38">
        <f t="shared" si="1"/>
        <v>6.7972967673625195</v>
      </c>
      <c r="F11" s="39">
        <v>0.4</v>
      </c>
      <c r="G11" s="40">
        <f t="shared" si="2"/>
        <v>7.1972967673625199</v>
      </c>
      <c r="H11" s="2" t="s">
        <v>118</v>
      </c>
    </row>
    <row r="12" spans="1:8">
      <c r="A12" t="s">
        <v>119</v>
      </c>
      <c r="B12" t="s">
        <v>120</v>
      </c>
      <c r="C12" s="5">
        <v>65</v>
      </c>
      <c r="D12" s="37">
        <f t="shared" si="0"/>
        <v>57.522123893805315</v>
      </c>
      <c r="E12" s="38">
        <f t="shared" si="1"/>
        <v>8.496620959203149</v>
      </c>
      <c r="F12" s="39">
        <v>0.3</v>
      </c>
      <c r="G12" s="40">
        <f t="shared" si="2"/>
        <v>8.7966209592031497</v>
      </c>
      <c r="H12" s="1" t="s">
        <v>121</v>
      </c>
    </row>
    <row r="13" spans="1:8">
      <c r="A13" t="s">
        <v>122</v>
      </c>
      <c r="B13" t="s">
        <v>123</v>
      </c>
      <c r="C13" s="5">
        <v>45</v>
      </c>
      <c r="D13" s="37">
        <f t="shared" si="0"/>
        <v>39.823008849557525</v>
      </c>
      <c r="E13" s="38">
        <f t="shared" si="1"/>
        <v>5.8822760486791026</v>
      </c>
      <c r="F13" s="39">
        <v>0.3</v>
      </c>
      <c r="G13" s="40">
        <f t="shared" si="2"/>
        <v>6.1822760486791024</v>
      </c>
      <c r="H13" s="1" t="s">
        <v>124</v>
      </c>
    </row>
    <row r="14" spans="1:8">
      <c r="A14" t="s">
        <v>125</v>
      </c>
      <c r="B14" t="s">
        <v>126</v>
      </c>
      <c r="C14" s="5">
        <v>12</v>
      </c>
      <c r="D14" s="37">
        <f t="shared" si="0"/>
        <v>10.619469026548673</v>
      </c>
      <c r="E14" s="38">
        <f t="shared" si="1"/>
        <v>1.5686069463144274</v>
      </c>
      <c r="F14" s="39">
        <v>0.3</v>
      </c>
      <c r="G14" s="40">
        <f t="shared" si="2"/>
        <v>1.8686069463144275</v>
      </c>
      <c r="H14" s="2" t="s">
        <v>127</v>
      </c>
    </row>
    <row r="15" spans="1:8">
      <c r="A15" t="s">
        <v>128</v>
      </c>
      <c r="B15" t="s">
        <v>129</v>
      </c>
      <c r="C15" s="5">
        <v>58</v>
      </c>
      <c r="D15" s="37">
        <f t="shared" si="0"/>
        <v>51.327433628318587</v>
      </c>
      <c r="E15" s="38">
        <f t="shared" si="1"/>
        <v>7.5816002405197329</v>
      </c>
      <c r="F15" s="39">
        <v>0.4</v>
      </c>
      <c r="G15" s="40">
        <f t="shared" si="2"/>
        <v>7.9816002405197333</v>
      </c>
      <c r="H15" s="2" t="s">
        <v>130</v>
      </c>
    </row>
    <row r="16" spans="1:8">
      <c r="A16" t="s">
        <v>131</v>
      </c>
      <c r="B16" t="s">
        <v>132</v>
      </c>
      <c r="C16" s="5">
        <v>5</v>
      </c>
      <c r="D16" s="37">
        <f t="shared" si="0"/>
        <v>4.4247787610619476</v>
      </c>
      <c r="E16" s="38">
        <f t="shared" si="1"/>
        <v>0.65358622763101148</v>
      </c>
      <c r="F16" s="39"/>
      <c r="G16" s="40">
        <f t="shared" si="2"/>
        <v>0.65358622763101148</v>
      </c>
      <c r="H16" s="2" t="s">
        <v>133</v>
      </c>
    </row>
    <row r="17" spans="1:8">
      <c r="A17" t="s">
        <v>134</v>
      </c>
      <c r="B17" t="s">
        <v>135</v>
      </c>
      <c r="C17" s="5">
        <v>42</v>
      </c>
      <c r="D17" s="37">
        <f t="shared" si="0"/>
        <v>37.168141592920357</v>
      </c>
      <c r="E17" s="38">
        <f t="shared" si="1"/>
        <v>5.4901243121004963</v>
      </c>
      <c r="F17" s="39">
        <v>0.3</v>
      </c>
      <c r="G17" s="40">
        <f t="shared" si="2"/>
        <v>5.7901243121004962</v>
      </c>
      <c r="H17" s="2" t="s">
        <v>136</v>
      </c>
    </row>
    <row r="18" spans="1:8">
      <c r="A18" t="s">
        <v>137</v>
      </c>
      <c r="B18" t="s">
        <v>138</v>
      </c>
      <c r="C18" s="5">
        <v>35</v>
      </c>
      <c r="D18" s="37">
        <f t="shared" si="0"/>
        <v>30.973451327433633</v>
      </c>
      <c r="E18" s="38">
        <f t="shared" si="1"/>
        <v>4.5751035934170803</v>
      </c>
      <c r="F18" s="39">
        <v>0.3</v>
      </c>
      <c r="G18" s="40">
        <f t="shared" si="2"/>
        <v>4.8751035934170801</v>
      </c>
      <c r="H18" s="2" t="s">
        <v>139</v>
      </c>
    </row>
    <row r="19" spans="1:8">
      <c r="A19" t="s">
        <v>140</v>
      </c>
      <c r="B19" t="s">
        <v>141</v>
      </c>
      <c r="C19" s="5">
        <v>52</v>
      </c>
      <c r="D19" s="37">
        <f t="shared" si="0"/>
        <v>46.017699115044252</v>
      </c>
      <c r="E19" s="38">
        <f t="shared" si="1"/>
        <v>6.7972967673625195</v>
      </c>
      <c r="F19" s="39">
        <v>0.4</v>
      </c>
      <c r="G19" s="40">
        <f t="shared" si="2"/>
        <v>7.1972967673625199</v>
      </c>
      <c r="H19" s="1" t="s">
        <v>142</v>
      </c>
    </row>
    <row r="20" spans="1:8">
      <c r="A20" t="s">
        <v>143</v>
      </c>
      <c r="B20" t="s">
        <v>144</v>
      </c>
      <c r="C20" s="5">
        <v>40</v>
      </c>
      <c r="D20" s="37">
        <f t="shared" si="0"/>
        <v>35.398230088495581</v>
      </c>
      <c r="E20" s="38">
        <f t="shared" si="1"/>
        <v>5.2286898210480919</v>
      </c>
      <c r="F20" s="39">
        <v>0.3</v>
      </c>
      <c r="G20" s="40">
        <f t="shared" si="2"/>
        <v>5.5286898210480917</v>
      </c>
      <c r="H20" s="2" t="s">
        <v>145</v>
      </c>
    </row>
    <row r="21" spans="1:8">
      <c r="A21" t="s">
        <v>146</v>
      </c>
      <c r="B21" t="s">
        <v>147</v>
      </c>
      <c r="C21" s="5">
        <v>32</v>
      </c>
      <c r="D21" s="37">
        <f t="shared" si="0"/>
        <v>28.318584070796462</v>
      </c>
      <c r="E21" s="38">
        <f t="shared" si="1"/>
        <v>4.1829518568384731</v>
      </c>
      <c r="F21" s="39">
        <v>0.3</v>
      </c>
      <c r="G21" s="40">
        <f t="shared" si="2"/>
        <v>4.482951856838473</v>
      </c>
      <c r="H21" s="2" t="s">
        <v>148</v>
      </c>
    </row>
    <row r="22" spans="1:8">
      <c r="A22" t="s">
        <v>149</v>
      </c>
      <c r="B22" t="s">
        <v>150</v>
      </c>
      <c r="C22" s="5">
        <v>22</v>
      </c>
      <c r="D22" s="37">
        <f t="shared" si="0"/>
        <v>19.469026548672566</v>
      </c>
      <c r="E22" s="38">
        <f t="shared" si="1"/>
        <v>2.87577940157645</v>
      </c>
      <c r="F22" s="39">
        <v>0.3</v>
      </c>
      <c r="G22" s="40">
        <f t="shared" si="2"/>
        <v>3.1757794015764498</v>
      </c>
      <c r="H22" s="2" t="s">
        <v>151</v>
      </c>
    </row>
    <row r="23" spans="1:8">
      <c r="A23" t="s">
        <v>152</v>
      </c>
      <c r="B23" t="s">
        <v>153</v>
      </c>
      <c r="C23" s="5">
        <v>25</v>
      </c>
      <c r="D23" s="37">
        <f t="shared" si="0"/>
        <v>22.123893805309738</v>
      </c>
      <c r="E23" s="38">
        <f t="shared" si="1"/>
        <v>3.2679311381550575</v>
      </c>
      <c r="F23" s="39">
        <v>0.3</v>
      </c>
      <c r="G23" s="40">
        <f t="shared" si="2"/>
        <v>3.5679311381550574</v>
      </c>
      <c r="H23" s="2" t="s">
        <v>154</v>
      </c>
    </row>
    <row r="24" spans="1:8">
      <c r="A24" t="s">
        <v>155</v>
      </c>
      <c r="B24" t="s">
        <v>156</v>
      </c>
      <c r="C24" s="5">
        <v>18</v>
      </c>
      <c r="D24" s="37">
        <f t="shared" si="0"/>
        <v>15.929203539823011</v>
      </c>
      <c r="E24" s="38">
        <f t="shared" si="1"/>
        <v>2.3529104194716415</v>
      </c>
      <c r="F24" s="39">
        <v>0.3</v>
      </c>
      <c r="G24" s="40">
        <f t="shared" si="2"/>
        <v>2.6529104194716413</v>
      </c>
      <c r="H24" s="2" t="s">
        <v>157</v>
      </c>
    </row>
    <row r="25" spans="1:8">
      <c r="A25" t="s">
        <v>158</v>
      </c>
      <c r="B25" t="s">
        <v>159</v>
      </c>
      <c r="C25" s="5">
        <v>26</v>
      </c>
      <c r="D25" s="37">
        <f t="shared" si="0"/>
        <v>23.008849557522126</v>
      </c>
      <c r="E25" s="38">
        <f t="shared" si="1"/>
        <v>3.3986483836812598</v>
      </c>
      <c r="F25" s="39">
        <v>0.3</v>
      </c>
      <c r="G25" s="40">
        <f t="shared" si="2"/>
        <v>3.6986483836812596</v>
      </c>
      <c r="H25" s="1" t="s">
        <v>160</v>
      </c>
    </row>
    <row r="26" spans="1:8">
      <c r="A26" t="s">
        <v>161</v>
      </c>
      <c r="B26" t="s">
        <v>162</v>
      </c>
      <c r="C26" s="5">
        <v>38</v>
      </c>
      <c r="D26" s="37">
        <f t="shared" si="0"/>
        <v>33.628318584070797</v>
      </c>
      <c r="E26" s="38">
        <f t="shared" si="1"/>
        <v>4.9672553299956865</v>
      </c>
      <c r="F26" s="39">
        <v>0.4</v>
      </c>
      <c r="G26" s="40">
        <f t="shared" si="2"/>
        <v>5.3672553299956869</v>
      </c>
      <c r="H26" s="2" t="s">
        <v>163</v>
      </c>
    </row>
    <row r="27" spans="1:8">
      <c r="A27" t="s">
        <v>164</v>
      </c>
      <c r="B27" t="s">
        <v>165</v>
      </c>
      <c r="C27" s="5">
        <v>35</v>
      </c>
      <c r="D27" s="37">
        <f t="shared" si="0"/>
        <v>30.973451327433633</v>
      </c>
      <c r="E27" s="38">
        <f t="shared" si="1"/>
        <v>4.5751035934170803</v>
      </c>
      <c r="F27" s="39">
        <v>0.4</v>
      </c>
      <c r="G27" s="40">
        <f t="shared" si="2"/>
        <v>4.9751035934170806</v>
      </c>
      <c r="H27" s="2" t="s">
        <v>166</v>
      </c>
    </row>
    <row r="28" spans="1:8">
      <c r="A28" t="s">
        <v>167</v>
      </c>
      <c r="B28" t="s">
        <v>168</v>
      </c>
      <c r="C28" s="5">
        <v>180</v>
      </c>
      <c r="D28" s="37">
        <f t="shared" si="0"/>
        <v>159.2920353982301</v>
      </c>
      <c r="E28" s="38">
        <f t="shared" si="1"/>
        <v>23.52910419471641</v>
      </c>
      <c r="F28" s="39">
        <v>0.5</v>
      </c>
      <c r="G28" s="40">
        <f t="shared" si="2"/>
        <v>24.02910419471641</v>
      </c>
      <c r="H28" s="2" t="s">
        <v>169</v>
      </c>
    </row>
    <row r="29" spans="1:8">
      <c r="A29" t="s">
        <v>170</v>
      </c>
      <c r="B29" t="s">
        <v>171</v>
      </c>
      <c r="C29" s="5">
        <v>95</v>
      </c>
      <c r="D29" s="37">
        <f t="shared" si="0"/>
        <v>84.070796460176993</v>
      </c>
      <c r="E29" s="38">
        <f t="shared" si="1"/>
        <v>12.418138324989217</v>
      </c>
      <c r="F29" s="39">
        <v>0.4</v>
      </c>
      <c r="G29" s="40">
        <f t="shared" si="2"/>
        <v>12.818138324989217</v>
      </c>
      <c r="H29" s="2" t="s">
        <v>172</v>
      </c>
    </row>
    <row r="30" spans="1:8">
      <c r="A30" t="s">
        <v>173</v>
      </c>
      <c r="B30" t="s">
        <v>174</v>
      </c>
      <c r="C30" s="5">
        <v>55</v>
      </c>
      <c r="D30" s="37">
        <f t="shared" si="0"/>
        <v>48.67256637168142</v>
      </c>
      <c r="E30" s="38">
        <f t="shared" si="1"/>
        <v>7.1894485039411258</v>
      </c>
      <c r="F30" s="39">
        <v>0.4</v>
      </c>
      <c r="G30" s="40">
        <f t="shared" si="2"/>
        <v>7.5894485039411261</v>
      </c>
      <c r="H30" s="2" t="s">
        <v>175</v>
      </c>
    </row>
    <row r="31" spans="1:8">
      <c r="A31" t="s">
        <v>176</v>
      </c>
      <c r="B31" t="s">
        <v>177</v>
      </c>
      <c r="C31" s="5">
        <v>48</v>
      </c>
      <c r="D31" s="37">
        <f t="shared" si="0"/>
        <v>42.477876106194692</v>
      </c>
      <c r="E31" s="38">
        <f t="shared" si="1"/>
        <v>6.2744277852577097</v>
      </c>
      <c r="F31" s="39">
        <v>0.4</v>
      </c>
      <c r="G31" s="40">
        <f t="shared" si="2"/>
        <v>6.6744277852577101</v>
      </c>
      <c r="H31" s="2" t="s">
        <v>178</v>
      </c>
    </row>
    <row r="32" spans="1:8">
      <c r="A32" t="s">
        <v>179</v>
      </c>
      <c r="B32" t="s">
        <v>180</v>
      </c>
      <c r="C32" s="5">
        <v>42</v>
      </c>
      <c r="D32" s="37">
        <f t="shared" si="0"/>
        <v>37.168141592920357</v>
      </c>
      <c r="E32" s="38">
        <f t="shared" si="1"/>
        <v>5.4901243121004963</v>
      </c>
      <c r="F32" s="39">
        <v>0.4</v>
      </c>
      <c r="G32" s="40">
        <f t="shared" si="2"/>
        <v>5.8901243121004967</v>
      </c>
      <c r="H32" s="2" t="s">
        <v>181</v>
      </c>
    </row>
    <row r="33" spans="1:8">
      <c r="A33" t="s">
        <v>182</v>
      </c>
      <c r="B33" t="s">
        <v>183</v>
      </c>
      <c r="C33" s="5">
        <v>110</v>
      </c>
      <c r="D33" s="37">
        <f t="shared" si="0"/>
        <v>97.345132743362839</v>
      </c>
      <c r="E33" s="38">
        <f t="shared" si="1"/>
        <v>14.378897007882252</v>
      </c>
      <c r="F33" s="39">
        <v>0.5</v>
      </c>
      <c r="G33" s="40">
        <f t="shared" si="2"/>
        <v>14.878897007882252</v>
      </c>
      <c r="H33" s="2" t="s">
        <v>184</v>
      </c>
    </row>
  </sheetData>
  <mergeCells count="2">
    <mergeCell ref="A1:H1"/>
    <mergeCell ref="B3:H3"/>
  </mergeCells>
  <phoneticPr fontId="26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0"/>
  <sheetViews>
    <sheetView zoomScaleNormal="100" workbookViewId="0">
      <selection activeCell="E14" sqref="E14"/>
    </sheetView>
  </sheetViews>
  <sheetFormatPr defaultColWidth="8.6328125" defaultRowHeight="14.5"/>
  <cols>
    <col min="1" max="1" width="12" customWidth="1"/>
    <col min="2" max="2" width="42" customWidth="1"/>
    <col min="3" max="3" width="22" customWidth="1"/>
    <col min="4" max="4" width="10" customWidth="1"/>
    <col min="5" max="5" width="18" customWidth="1"/>
    <col min="6" max="7" width="4" customWidth="1"/>
  </cols>
  <sheetData>
    <row r="1" spans="1:8" ht="18">
      <c r="A1" s="50" t="s">
        <v>185</v>
      </c>
      <c r="B1" s="50"/>
      <c r="C1" s="50"/>
      <c r="D1" s="50"/>
      <c r="E1" s="50"/>
      <c r="F1" s="50"/>
      <c r="G1" s="50"/>
      <c r="H1" s="50"/>
    </row>
    <row r="3" spans="1:8">
      <c r="A3" s="3" t="s">
        <v>1</v>
      </c>
      <c r="B3" s="51" t="s">
        <v>186</v>
      </c>
      <c r="C3" s="51"/>
      <c r="D3" s="51"/>
      <c r="E3" s="51"/>
      <c r="F3" s="51"/>
      <c r="G3" s="51"/>
      <c r="H3" s="51"/>
    </row>
    <row r="5" spans="1:8">
      <c r="A5" s="53" t="s">
        <v>187</v>
      </c>
      <c r="B5" s="53"/>
      <c r="C5" s="53"/>
      <c r="D5" s="53"/>
      <c r="E5" s="53"/>
      <c r="F5" s="53"/>
      <c r="G5" s="53"/>
    </row>
    <row r="6" spans="1:8" ht="26">
      <c r="A6" s="8" t="s">
        <v>49</v>
      </c>
      <c r="B6" s="7" t="s">
        <v>94</v>
      </c>
      <c r="C6" s="7" t="s">
        <v>188</v>
      </c>
      <c r="D6" s="7" t="s">
        <v>189</v>
      </c>
      <c r="E6" s="7" t="s">
        <v>190</v>
      </c>
      <c r="F6" s="7"/>
      <c r="G6" s="7"/>
    </row>
    <row r="7" spans="1:8">
      <c r="A7" s="16" t="s">
        <v>104</v>
      </c>
      <c r="B7" s="16" t="s">
        <v>191</v>
      </c>
      <c r="C7" s="38">
        <f>VLOOKUP(A7,'📦 单品成本'!$A$6:$G$50,7,FALSE())</f>
        <v>1.737889700788225</v>
      </c>
      <c r="D7" s="41">
        <v>1</v>
      </c>
      <c r="E7" s="38">
        <f>C7*D7</f>
        <v>1.737889700788225</v>
      </c>
    </row>
    <row r="8" spans="1:8">
      <c r="A8" s="16" t="s">
        <v>125</v>
      </c>
      <c r="B8" s="19" t="s">
        <v>192</v>
      </c>
      <c r="C8" s="38">
        <f>VLOOKUP(A8,'📦 单品成本'!$A$6:$G$50,7,FALSE())</f>
        <v>1.8686069463144275</v>
      </c>
      <c r="D8" s="41">
        <v>1</v>
      </c>
      <c r="E8" s="38">
        <f>C8*D8</f>
        <v>1.8686069463144275</v>
      </c>
    </row>
    <row r="9" spans="1:8">
      <c r="A9" s="16" t="s">
        <v>131</v>
      </c>
      <c r="B9" s="19" t="s">
        <v>193</v>
      </c>
      <c r="C9" s="38">
        <f>VLOOKUP(A9,'📦 单品成本'!$A$6:$G$50,7,FALSE())</f>
        <v>0.65358622763101148</v>
      </c>
      <c r="D9" s="41">
        <v>1</v>
      </c>
      <c r="E9" s="38">
        <f>C9*D9</f>
        <v>0.65358622763101148</v>
      </c>
    </row>
    <row r="10" spans="1:8">
      <c r="B10" s="3" t="s">
        <v>194</v>
      </c>
      <c r="E10" s="42">
        <f>SUM(E7:E9)</f>
        <v>4.2600828747336639</v>
      </c>
    </row>
    <row r="11" spans="1:8">
      <c r="B11" s="19" t="s">
        <v>195</v>
      </c>
      <c r="E11" s="39">
        <v>3.5</v>
      </c>
    </row>
    <row r="12" spans="1:8">
      <c r="B12" s="19" t="s">
        <v>196</v>
      </c>
      <c r="E12" s="39">
        <v>1.3</v>
      </c>
    </row>
    <row r="13" spans="1:8">
      <c r="B13" s="3" t="s">
        <v>197</v>
      </c>
      <c r="E13" s="42">
        <f>E10+E11+E12</f>
        <v>9.0600828747336646</v>
      </c>
    </row>
    <row r="14" spans="1:8">
      <c r="B14" s="16" t="s">
        <v>198</v>
      </c>
      <c r="E14" s="38">
        <f>E13*MARKUP</f>
        <v>2.7180248624200991</v>
      </c>
    </row>
    <row r="15" spans="1:8">
      <c r="B15" s="43" t="s">
        <v>199</v>
      </c>
      <c r="E15" s="44">
        <f>E13+E14</f>
        <v>11.778107737153764</v>
      </c>
    </row>
    <row r="17" spans="1:7">
      <c r="A17" s="53" t="s">
        <v>200</v>
      </c>
      <c r="B17" s="53"/>
      <c r="C17" s="53"/>
      <c r="D17" s="53"/>
      <c r="E17" s="53"/>
      <c r="F17" s="53"/>
      <c r="G17" s="53"/>
    </row>
    <row r="18" spans="1:7" ht="26">
      <c r="A18" s="8" t="s">
        <v>49</v>
      </c>
      <c r="B18" s="7" t="s">
        <v>94</v>
      </c>
      <c r="C18" s="7" t="s">
        <v>188</v>
      </c>
      <c r="D18" s="7" t="s">
        <v>189</v>
      </c>
      <c r="E18" s="7" t="s">
        <v>190</v>
      </c>
      <c r="F18" s="7"/>
      <c r="G18" s="7"/>
    </row>
    <row r="19" spans="1:7">
      <c r="A19" s="16" t="s">
        <v>101</v>
      </c>
      <c r="B19" s="19" t="s">
        <v>201</v>
      </c>
      <c r="C19" s="38">
        <f>VLOOKUP(A19,'📦 单品成本'!$A$6:$G$50,7,FALSE())</f>
        <v>6.9358622763101154</v>
      </c>
      <c r="D19" s="41">
        <v>1</v>
      </c>
      <c r="E19" s="38">
        <f>C19*D19</f>
        <v>6.9358622763101154</v>
      </c>
    </row>
    <row r="20" spans="1:7">
      <c r="A20" s="16" t="s">
        <v>128</v>
      </c>
      <c r="B20" s="19" t="s">
        <v>202</v>
      </c>
      <c r="C20" s="38">
        <f>VLOOKUP(A20,'📦 单品成本'!$A$6:$G$50,7,FALSE())</f>
        <v>7.9816002405197333</v>
      </c>
      <c r="D20" s="41">
        <v>1</v>
      </c>
      <c r="E20" s="38">
        <f>C20*D20</f>
        <v>7.9816002405197333</v>
      </c>
    </row>
    <row r="21" spans="1:7">
      <c r="A21" s="16" t="s">
        <v>140</v>
      </c>
      <c r="B21" s="19" t="s">
        <v>203</v>
      </c>
      <c r="C21" s="38">
        <f>VLOOKUP(A21,'📦 单品成本'!$A$6:$G$50,7,FALSE())</f>
        <v>7.1972967673625199</v>
      </c>
      <c r="D21" s="41">
        <v>1</v>
      </c>
      <c r="E21" s="38">
        <f>C21*D21</f>
        <v>7.1972967673625199</v>
      </c>
    </row>
    <row r="22" spans="1:7">
      <c r="B22" s="3" t="s">
        <v>194</v>
      </c>
      <c r="E22" s="42">
        <f>SUM(E19:E21)</f>
        <v>22.114759284192367</v>
      </c>
    </row>
    <row r="23" spans="1:7">
      <c r="B23" s="19" t="s">
        <v>204</v>
      </c>
      <c r="E23" s="39">
        <v>5.5</v>
      </c>
    </row>
    <row r="24" spans="1:7">
      <c r="B24" s="19" t="s">
        <v>196</v>
      </c>
      <c r="E24" s="39">
        <v>1.3</v>
      </c>
    </row>
    <row r="25" spans="1:7">
      <c r="B25" s="3" t="s">
        <v>197</v>
      </c>
      <c r="E25" s="42">
        <f>E22+E23+E24</f>
        <v>28.914759284192368</v>
      </c>
    </row>
    <row r="26" spans="1:7">
      <c r="B26" s="16" t="s">
        <v>198</v>
      </c>
      <c r="E26" s="38">
        <f>E25*MARKUP</f>
        <v>8.6744277852577092</v>
      </c>
    </row>
    <row r="27" spans="1:7">
      <c r="B27" s="43" t="s">
        <v>199</v>
      </c>
      <c r="E27" s="44">
        <f>E25+E26</f>
        <v>37.589187069450077</v>
      </c>
    </row>
    <row r="29" spans="1:7">
      <c r="A29" s="53" t="s">
        <v>205</v>
      </c>
      <c r="B29" s="53"/>
      <c r="C29" s="53"/>
      <c r="D29" s="53"/>
      <c r="E29" s="53"/>
      <c r="F29" s="53"/>
      <c r="G29" s="53"/>
    </row>
    <row r="30" spans="1:7" ht="26">
      <c r="A30" s="8" t="s">
        <v>49</v>
      </c>
      <c r="B30" s="7" t="s">
        <v>94</v>
      </c>
      <c r="C30" s="7" t="s">
        <v>188</v>
      </c>
      <c r="D30" s="7" t="s">
        <v>189</v>
      </c>
      <c r="E30" s="7" t="s">
        <v>190</v>
      </c>
      <c r="F30" s="7"/>
      <c r="G30" s="7"/>
    </row>
    <row r="31" spans="1:7">
      <c r="A31" s="16" t="s">
        <v>146</v>
      </c>
      <c r="B31" s="19" t="s">
        <v>148</v>
      </c>
      <c r="C31" s="38">
        <f>VLOOKUP(A31,'📦 单品成本'!$A$6:$G$50,7,FALSE())</f>
        <v>4.482951856838473</v>
      </c>
      <c r="D31" s="41">
        <v>1</v>
      </c>
      <c r="E31" s="38">
        <f>C31*D31</f>
        <v>4.482951856838473</v>
      </c>
    </row>
    <row r="32" spans="1:7">
      <c r="A32" s="16" t="s">
        <v>149</v>
      </c>
      <c r="B32" s="19" t="s">
        <v>151</v>
      </c>
      <c r="C32" s="38">
        <f>VLOOKUP(A32,'📦 单品成本'!$A$6:$G$50,7,FALSE())</f>
        <v>3.1757794015764498</v>
      </c>
      <c r="D32" s="41">
        <v>1</v>
      </c>
      <c r="E32" s="38">
        <f>C32*D32</f>
        <v>3.1757794015764498</v>
      </c>
    </row>
    <row r="33" spans="1:7">
      <c r="A33" s="16" t="s">
        <v>152</v>
      </c>
      <c r="B33" s="19" t="s">
        <v>154</v>
      </c>
      <c r="C33" s="38">
        <f>VLOOKUP(A33,'📦 单品成本'!$A$6:$G$50,7,FALSE())</f>
        <v>3.5679311381550574</v>
      </c>
      <c r="D33" s="41">
        <v>1</v>
      </c>
      <c r="E33" s="38">
        <f>C33*D33</f>
        <v>3.5679311381550574</v>
      </c>
    </row>
    <row r="34" spans="1:7">
      <c r="B34" s="3" t="s">
        <v>194</v>
      </c>
      <c r="E34" s="42">
        <f>SUM(E31:E33)</f>
        <v>11.22666239656998</v>
      </c>
    </row>
    <row r="35" spans="1:7">
      <c r="B35" s="19" t="s">
        <v>206</v>
      </c>
      <c r="E35" s="39">
        <v>3</v>
      </c>
    </row>
    <row r="36" spans="1:7">
      <c r="B36" s="19" t="s">
        <v>196</v>
      </c>
      <c r="E36" s="39">
        <v>1.3</v>
      </c>
    </row>
    <row r="37" spans="1:7">
      <c r="B37" s="3" t="s">
        <v>197</v>
      </c>
      <c r="E37" s="42">
        <f>E34+E35+E36</f>
        <v>15.52666239656998</v>
      </c>
    </row>
    <row r="38" spans="1:7">
      <c r="B38" s="16" t="s">
        <v>198</v>
      </c>
      <c r="E38" s="38">
        <f>E37*MARKUP</f>
        <v>4.6579987189709939</v>
      </c>
    </row>
    <row r="39" spans="1:7">
      <c r="B39" s="43" t="s">
        <v>199</v>
      </c>
      <c r="E39" s="44">
        <f>E37+E38</f>
        <v>20.184661115540976</v>
      </c>
    </row>
    <row r="41" spans="1:7">
      <c r="A41" s="53" t="s">
        <v>207</v>
      </c>
      <c r="B41" s="53"/>
      <c r="C41" s="53"/>
      <c r="D41" s="53"/>
      <c r="E41" s="53"/>
      <c r="F41" s="53"/>
      <c r="G41" s="53"/>
    </row>
    <row r="42" spans="1:7" ht="26">
      <c r="A42" s="8" t="s">
        <v>49</v>
      </c>
      <c r="B42" s="7" t="s">
        <v>94</v>
      </c>
      <c r="C42" s="7" t="s">
        <v>188</v>
      </c>
      <c r="D42" s="7" t="s">
        <v>189</v>
      </c>
      <c r="E42" s="7" t="s">
        <v>190</v>
      </c>
      <c r="F42" s="7"/>
      <c r="G42" s="7"/>
    </row>
    <row r="43" spans="1:7">
      <c r="A43" s="16" t="s">
        <v>107</v>
      </c>
      <c r="B43" s="19" t="s">
        <v>208</v>
      </c>
      <c r="C43" s="38">
        <f>VLOOKUP(A43,'📦 单品成本'!$A$6:$G$50,7,FALSE())</f>
        <v>6.2822760486791029</v>
      </c>
      <c r="D43" s="41">
        <v>1</v>
      </c>
      <c r="E43" s="38">
        <f>C43*D43</f>
        <v>6.2822760486791029</v>
      </c>
    </row>
    <row r="44" spans="1:7">
      <c r="A44" s="16" t="s">
        <v>155</v>
      </c>
      <c r="B44" s="19" t="s">
        <v>209</v>
      </c>
      <c r="C44" s="38">
        <f>VLOOKUP(A44,'📦 单品成本'!$A$6:$G$50,7,FALSE())</f>
        <v>2.6529104194716413</v>
      </c>
      <c r="D44" s="41">
        <v>1</v>
      </c>
      <c r="E44" s="38">
        <f>C44*D44</f>
        <v>2.6529104194716413</v>
      </c>
    </row>
    <row r="45" spans="1:7">
      <c r="A45" s="16" t="s">
        <v>158</v>
      </c>
      <c r="B45" s="19" t="s">
        <v>210</v>
      </c>
      <c r="C45" s="38">
        <f>VLOOKUP(A45,'📦 单品成本'!$A$6:$G$50,7,FALSE())</f>
        <v>3.6986483836812596</v>
      </c>
      <c r="D45" s="41">
        <v>1</v>
      </c>
      <c r="E45" s="38">
        <f>C45*D45</f>
        <v>3.6986483836812596</v>
      </c>
    </row>
    <row r="46" spans="1:7">
      <c r="B46" s="3" t="s">
        <v>194</v>
      </c>
      <c r="E46" s="42">
        <f>SUM(E43:E45)</f>
        <v>12.633834851832004</v>
      </c>
    </row>
    <row r="47" spans="1:7">
      <c r="B47" s="19" t="s">
        <v>211</v>
      </c>
      <c r="E47" s="39">
        <v>3.5</v>
      </c>
    </row>
    <row r="48" spans="1:7">
      <c r="B48" s="19" t="s">
        <v>196</v>
      </c>
      <c r="E48" s="39">
        <v>1.3</v>
      </c>
    </row>
    <row r="49" spans="1:7">
      <c r="B49" s="3" t="s">
        <v>197</v>
      </c>
      <c r="E49" s="42">
        <f>E46+E47+E48</f>
        <v>17.433834851832007</v>
      </c>
    </row>
    <row r="50" spans="1:7">
      <c r="B50" s="16" t="s">
        <v>198</v>
      </c>
      <c r="E50" s="38">
        <f>E49*MARKUP</f>
        <v>5.2301504555496017</v>
      </c>
    </row>
    <row r="51" spans="1:7">
      <c r="B51" s="43" t="s">
        <v>199</v>
      </c>
      <c r="E51" s="44">
        <f>E49+E50</f>
        <v>22.663985307381608</v>
      </c>
    </row>
    <row r="53" spans="1:7">
      <c r="A53" s="53" t="s">
        <v>212</v>
      </c>
      <c r="B53" s="53"/>
      <c r="C53" s="53"/>
      <c r="D53" s="53"/>
      <c r="E53" s="53"/>
      <c r="F53" s="53"/>
      <c r="G53" s="53"/>
    </row>
    <row r="54" spans="1:7" ht="26">
      <c r="A54" s="8" t="s">
        <v>49</v>
      </c>
      <c r="B54" s="7" t="s">
        <v>94</v>
      </c>
      <c r="C54" s="7" t="s">
        <v>188</v>
      </c>
      <c r="D54" s="7" t="s">
        <v>189</v>
      </c>
      <c r="E54" s="7" t="s">
        <v>190</v>
      </c>
      <c r="F54" s="7"/>
      <c r="G54" s="7"/>
    </row>
    <row r="55" spans="1:7">
      <c r="A55" s="16" t="s">
        <v>101</v>
      </c>
      <c r="B55" s="19" t="s">
        <v>201</v>
      </c>
      <c r="C55" s="38">
        <f>VLOOKUP(A55,'📦 单品成本'!$A$6:$G$50,7,FALSE())</f>
        <v>6.9358622763101154</v>
      </c>
      <c r="D55" s="41">
        <v>1</v>
      </c>
      <c r="E55" s="38">
        <f>C55*D55</f>
        <v>6.9358622763101154</v>
      </c>
    </row>
    <row r="56" spans="1:7">
      <c r="A56" s="16" t="s">
        <v>170</v>
      </c>
      <c r="B56" s="19" t="s">
        <v>213</v>
      </c>
      <c r="C56" s="38">
        <f>VLOOKUP(A56,'📦 单品成本'!$A$6:$G$50,7,FALSE())</f>
        <v>12.818138324989217</v>
      </c>
      <c r="D56" s="41">
        <v>1</v>
      </c>
      <c r="E56" s="38">
        <f>C56*D56</f>
        <v>12.818138324989217</v>
      </c>
    </row>
    <row r="57" spans="1:7">
      <c r="A57" s="16" t="s">
        <v>161</v>
      </c>
      <c r="B57" s="19" t="s">
        <v>214</v>
      </c>
      <c r="C57" s="38">
        <f>VLOOKUP(A57,'📦 单品成本'!$A$6:$G$50,7,FALSE())</f>
        <v>5.3672553299956869</v>
      </c>
      <c r="D57" s="41">
        <v>1</v>
      </c>
      <c r="E57" s="38">
        <f>C57*D57</f>
        <v>5.3672553299956869</v>
      </c>
    </row>
    <row r="58" spans="1:7">
      <c r="B58" s="3" t="s">
        <v>194</v>
      </c>
      <c r="E58" s="42">
        <f>SUM(E55:E57)</f>
        <v>25.121255931295018</v>
      </c>
    </row>
    <row r="59" spans="1:7">
      <c r="B59" s="19" t="s">
        <v>215</v>
      </c>
      <c r="E59" s="39">
        <v>5.5</v>
      </c>
    </row>
    <row r="60" spans="1:7">
      <c r="B60" s="19" t="s">
        <v>196</v>
      </c>
      <c r="E60" s="39">
        <v>1.3</v>
      </c>
    </row>
    <row r="61" spans="1:7">
      <c r="B61" s="3" t="s">
        <v>197</v>
      </c>
      <c r="E61" s="42">
        <f>E58+E59+E60</f>
        <v>31.921255931295018</v>
      </c>
    </row>
    <row r="62" spans="1:7">
      <c r="B62" s="16" t="s">
        <v>198</v>
      </c>
      <c r="E62" s="38">
        <f>E61*MARKUP</f>
        <v>9.5763767793885055</v>
      </c>
    </row>
    <row r="63" spans="1:7">
      <c r="B63" s="43" t="s">
        <v>199</v>
      </c>
      <c r="E63" s="44">
        <f>E61+E62</f>
        <v>41.497632710683526</v>
      </c>
    </row>
    <row r="65" spans="1:7">
      <c r="A65" s="53" t="s">
        <v>216</v>
      </c>
      <c r="B65" s="53"/>
      <c r="C65" s="53"/>
      <c r="D65" s="53"/>
      <c r="E65" s="53"/>
      <c r="F65" s="53"/>
      <c r="G65" s="53"/>
    </row>
    <row r="66" spans="1:7" ht="26">
      <c r="A66" s="8" t="s">
        <v>49</v>
      </c>
      <c r="B66" s="7" t="s">
        <v>94</v>
      </c>
      <c r="C66" s="7" t="s">
        <v>188</v>
      </c>
      <c r="D66" s="7" t="s">
        <v>189</v>
      </c>
      <c r="E66" s="7" t="s">
        <v>190</v>
      </c>
      <c r="F66" s="7"/>
      <c r="G66" s="7"/>
    </row>
    <row r="67" spans="1:7">
      <c r="A67" s="16" t="s">
        <v>143</v>
      </c>
      <c r="B67" s="16" t="s">
        <v>217</v>
      </c>
      <c r="C67" s="38">
        <f>VLOOKUP(A67,'📦 单品成本'!$A$6:$G$50,7,FALSE())</f>
        <v>5.5286898210480917</v>
      </c>
      <c r="D67" s="41">
        <v>1</v>
      </c>
      <c r="E67" s="38">
        <f>C67*D67</f>
        <v>5.5286898210480917</v>
      </c>
    </row>
    <row r="68" spans="1:7">
      <c r="A68" s="16" t="s">
        <v>110</v>
      </c>
      <c r="B68" s="16" t="s">
        <v>218</v>
      </c>
      <c r="C68" s="38">
        <f>VLOOKUP(A68,'📦 单品成本'!$A$6:$G$50,7,FALSE())</f>
        <v>5.3672553299956869</v>
      </c>
      <c r="D68" s="41">
        <v>1</v>
      </c>
      <c r="E68" s="38">
        <f>C68*D68</f>
        <v>5.3672553299956869</v>
      </c>
    </row>
    <row r="69" spans="1:7">
      <c r="A69" s="16" t="s">
        <v>122</v>
      </c>
      <c r="B69" s="19" t="s">
        <v>219</v>
      </c>
      <c r="C69" s="38">
        <f>VLOOKUP(A69,'📦 单品成本'!$A$6:$G$50,7,FALSE())</f>
        <v>6.1822760486791024</v>
      </c>
      <c r="D69" s="41">
        <v>1</v>
      </c>
      <c r="E69" s="38">
        <f>C69*D69</f>
        <v>6.1822760486791024</v>
      </c>
    </row>
    <row r="70" spans="1:7">
      <c r="B70" s="3" t="s">
        <v>194</v>
      </c>
      <c r="E70" s="42">
        <f>SUM(E67:E69)</f>
        <v>17.078221199722883</v>
      </c>
    </row>
    <row r="71" spans="1:7">
      <c r="B71" s="19" t="s">
        <v>220</v>
      </c>
      <c r="E71" s="39">
        <v>4.5</v>
      </c>
    </row>
    <row r="72" spans="1:7">
      <c r="B72" s="19" t="s">
        <v>196</v>
      </c>
      <c r="E72" s="39">
        <v>1.3</v>
      </c>
    </row>
    <row r="73" spans="1:7">
      <c r="B73" s="3" t="s">
        <v>197</v>
      </c>
      <c r="E73" s="42">
        <f>E70+E71+E72</f>
        <v>22.878221199722883</v>
      </c>
    </row>
    <row r="74" spans="1:7">
      <c r="B74" s="16" t="s">
        <v>198</v>
      </c>
      <c r="E74" s="38">
        <f>E73*MARKUP</f>
        <v>6.863466359916865</v>
      </c>
    </row>
    <row r="75" spans="1:7">
      <c r="B75" s="43" t="s">
        <v>199</v>
      </c>
      <c r="E75" s="44">
        <f>E73+E74</f>
        <v>29.74168755963975</v>
      </c>
    </row>
    <row r="77" spans="1:7">
      <c r="A77" s="53" t="s">
        <v>221</v>
      </c>
      <c r="B77" s="53"/>
      <c r="C77" s="53"/>
      <c r="D77" s="53"/>
      <c r="E77" s="53"/>
      <c r="F77" s="53"/>
      <c r="G77" s="53"/>
    </row>
    <row r="78" spans="1:7" ht="26">
      <c r="A78" s="8" t="s">
        <v>49</v>
      </c>
      <c r="B78" s="7" t="s">
        <v>94</v>
      </c>
      <c r="C78" s="7" t="s">
        <v>188</v>
      </c>
      <c r="D78" s="7" t="s">
        <v>189</v>
      </c>
      <c r="E78" s="7" t="s">
        <v>190</v>
      </c>
      <c r="F78" s="7"/>
      <c r="G78" s="7"/>
    </row>
    <row r="79" spans="1:7">
      <c r="A79" s="16" t="s">
        <v>113</v>
      </c>
      <c r="B79" s="19" t="s">
        <v>115</v>
      </c>
      <c r="C79" s="38">
        <f>VLOOKUP(A79,'📦 单品成本'!$A$6:$G$50,7,FALSE())</f>
        <v>7.5894485039411261</v>
      </c>
      <c r="D79" s="41">
        <v>1</v>
      </c>
      <c r="E79" s="38">
        <f>C79*D79</f>
        <v>7.5894485039411261</v>
      </c>
    </row>
    <row r="80" spans="1:7">
      <c r="A80" s="16" t="s">
        <v>134</v>
      </c>
      <c r="B80" s="19" t="s">
        <v>136</v>
      </c>
      <c r="C80" s="38">
        <f>VLOOKUP(A80,'📦 单品成本'!$A$6:$G$50,7,FALSE())</f>
        <v>5.7901243121004962</v>
      </c>
      <c r="D80" s="41">
        <v>1</v>
      </c>
      <c r="E80" s="38">
        <f>C80*D80</f>
        <v>5.7901243121004962</v>
      </c>
    </row>
    <row r="81" spans="1:7">
      <c r="A81" s="16" t="s">
        <v>179</v>
      </c>
      <c r="B81" s="19" t="s">
        <v>222</v>
      </c>
      <c r="C81" s="38">
        <f>VLOOKUP(A81,'📦 单品成本'!$A$6:$G$50,7,FALSE())</f>
        <v>5.8901243121004967</v>
      </c>
      <c r="D81" s="41">
        <v>1</v>
      </c>
      <c r="E81" s="38">
        <f>C81*D81</f>
        <v>5.8901243121004967</v>
      </c>
    </row>
    <row r="82" spans="1:7">
      <c r="B82" s="3" t="s">
        <v>194</v>
      </c>
      <c r="E82" s="42">
        <f>SUM(E79:E81)</f>
        <v>19.26969712814212</v>
      </c>
    </row>
    <row r="83" spans="1:7">
      <c r="B83" s="19" t="s">
        <v>215</v>
      </c>
      <c r="E83" s="39">
        <v>5</v>
      </c>
    </row>
    <row r="84" spans="1:7">
      <c r="B84" s="19" t="s">
        <v>196</v>
      </c>
      <c r="E84" s="39">
        <v>1.3</v>
      </c>
    </row>
    <row r="85" spans="1:7">
      <c r="B85" s="3" t="s">
        <v>197</v>
      </c>
      <c r="E85" s="42">
        <f>E82+E83+E84</f>
        <v>25.569697128142121</v>
      </c>
    </row>
    <row r="86" spans="1:7">
      <c r="B86" s="16" t="s">
        <v>198</v>
      </c>
      <c r="E86" s="38">
        <f>E85*MARKUP</f>
        <v>7.670909138442636</v>
      </c>
    </row>
    <row r="87" spans="1:7">
      <c r="B87" s="43" t="s">
        <v>199</v>
      </c>
      <c r="E87" s="44">
        <f>E85+E86</f>
        <v>33.240606266584756</v>
      </c>
    </row>
    <row r="89" spans="1:7">
      <c r="A89" s="53" t="s">
        <v>223</v>
      </c>
      <c r="B89" s="53"/>
      <c r="C89" s="53"/>
      <c r="D89" s="53"/>
      <c r="E89" s="53"/>
      <c r="F89" s="53"/>
      <c r="G89" s="53"/>
    </row>
    <row r="90" spans="1:7" ht="26">
      <c r="A90" s="8" t="s">
        <v>49</v>
      </c>
      <c r="B90" s="7" t="s">
        <v>94</v>
      </c>
      <c r="C90" s="7" t="s">
        <v>188</v>
      </c>
      <c r="D90" s="7" t="s">
        <v>189</v>
      </c>
      <c r="E90" s="7" t="s">
        <v>190</v>
      </c>
      <c r="F90" s="7"/>
      <c r="G90" s="7"/>
    </row>
    <row r="91" spans="1:7">
      <c r="A91" s="16" t="s">
        <v>116</v>
      </c>
      <c r="B91" s="19" t="s">
        <v>118</v>
      </c>
      <c r="C91" s="38">
        <f>VLOOKUP(A91,'📦 单品成本'!$A$6:$G$50,7,FALSE())</f>
        <v>7.1972967673625199</v>
      </c>
      <c r="D91" s="41">
        <v>1</v>
      </c>
      <c r="E91" s="38">
        <f>C91*D91</f>
        <v>7.1972967673625199</v>
      </c>
    </row>
    <row r="92" spans="1:7">
      <c r="A92" s="16" t="s">
        <v>164</v>
      </c>
      <c r="B92" s="19" t="s">
        <v>224</v>
      </c>
      <c r="C92" s="38">
        <f>VLOOKUP(A92,'📦 单品成本'!$A$6:$G$50,7,FALSE())</f>
        <v>4.9751035934170806</v>
      </c>
      <c r="D92" s="41">
        <v>1</v>
      </c>
      <c r="E92" s="38">
        <f>C92*D92</f>
        <v>4.9751035934170806</v>
      </c>
    </row>
    <row r="93" spans="1:7">
      <c r="A93" s="16" t="s">
        <v>140</v>
      </c>
      <c r="B93" s="19" t="s">
        <v>203</v>
      </c>
      <c r="C93" s="38">
        <f>VLOOKUP(A93,'📦 单品成本'!$A$6:$G$50,7,FALSE())</f>
        <v>7.1972967673625199</v>
      </c>
      <c r="D93" s="41">
        <v>1</v>
      </c>
      <c r="E93" s="38">
        <f>C93*D93</f>
        <v>7.1972967673625199</v>
      </c>
    </row>
    <row r="94" spans="1:7">
      <c r="A94" s="16" t="s">
        <v>182</v>
      </c>
      <c r="B94" s="19" t="s">
        <v>225</v>
      </c>
      <c r="C94" s="38">
        <f>VLOOKUP(A94,'📦 单品成本'!$A$6:$G$50,7,FALSE())</f>
        <v>14.878897007882252</v>
      </c>
      <c r="D94" s="41">
        <v>1</v>
      </c>
      <c r="E94" s="38">
        <f>C94*D94</f>
        <v>14.878897007882252</v>
      </c>
    </row>
    <row r="95" spans="1:7">
      <c r="B95" s="3" t="s">
        <v>194</v>
      </c>
      <c r="E95" s="42">
        <f>SUM(E91:E94)</f>
        <v>34.248594136024373</v>
      </c>
    </row>
    <row r="96" spans="1:7">
      <c r="B96" s="19" t="s">
        <v>226</v>
      </c>
      <c r="E96" s="39">
        <v>7</v>
      </c>
    </row>
    <row r="97" spans="2:5">
      <c r="B97" s="19" t="s">
        <v>196</v>
      </c>
      <c r="E97" s="39">
        <v>1.3</v>
      </c>
    </row>
    <row r="98" spans="2:5">
      <c r="B98" s="3" t="s">
        <v>197</v>
      </c>
      <c r="E98" s="42">
        <f>E95+E96+E97</f>
        <v>42.54859413602437</v>
      </c>
    </row>
    <row r="99" spans="2:5">
      <c r="B99" s="16" t="s">
        <v>198</v>
      </c>
      <c r="E99" s="38">
        <f>E98*MARKUP</f>
        <v>12.76457824080731</v>
      </c>
    </row>
    <row r="100" spans="2:5">
      <c r="B100" s="43" t="s">
        <v>199</v>
      </c>
      <c r="E100" s="44">
        <f>E98+E99</f>
        <v>55.31317237683168</v>
      </c>
    </row>
  </sheetData>
  <mergeCells count="10">
    <mergeCell ref="A1:H1"/>
    <mergeCell ref="B3:H3"/>
    <mergeCell ref="A5:G5"/>
    <mergeCell ref="A17:G17"/>
    <mergeCell ref="A29:G29"/>
    <mergeCell ref="A41:G41"/>
    <mergeCell ref="A53:G53"/>
    <mergeCell ref="A65:G65"/>
    <mergeCell ref="A77:G77"/>
    <mergeCell ref="A89:G89"/>
  </mergeCells>
  <phoneticPr fontId="26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14</vt:i4>
      </vt:variant>
    </vt:vector>
  </HeadingPairs>
  <TitlesOfParts>
    <vt:vector size="18" baseType="lpstr">
      <vt:lpstr>⚙️ 配置</vt:lpstr>
      <vt:lpstr>💰 完整报价</vt:lpstr>
      <vt:lpstr>📦 单品成本</vt:lpstr>
      <vt:lpstr>🎁 套件FOB</vt:lpstr>
      <vt:lpstr>EXRATE</vt:lpstr>
      <vt:lpstr>FOB_WGS_001</vt:lpstr>
      <vt:lpstr>FOB_WGS_002</vt:lpstr>
      <vt:lpstr>FOB_WGS_003</vt:lpstr>
      <vt:lpstr>FOB_WGS_004</vt:lpstr>
      <vt:lpstr>FOB_WGS_005</vt:lpstr>
      <vt:lpstr>FOB_WGS_006</vt:lpstr>
      <vt:lpstr>FOB_WGS_007</vt:lpstr>
      <vt:lpstr>FOB_WGS_008</vt:lpstr>
      <vt:lpstr>FREIGHT_CBM</vt:lpstr>
      <vt:lpstr>INS_RATE</vt:lpstr>
      <vt:lpstr>LCL_MIN</vt:lpstr>
      <vt:lpstr>MARKUP</vt:lpstr>
      <vt:lpstr>VATRATE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Johnny Lui</cp:lastModifiedBy>
  <cp:revision>0</cp:revision>
  <dcterms:created xsi:type="dcterms:W3CDTF">2026-06-01T13:27:35Z</dcterms:created>
  <dcterms:modified xsi:type="dcterms:W3CDTF">2026-06-09T23:39:08Z</dcterms:modified>
  <dc:language>en-US</dc:language>
</cp:coreProperties>
</file>