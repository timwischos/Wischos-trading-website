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Wischos trading website\临时\新西兰\Argos Promotional Products\"/>
    </mc:Choice>
  </mc:AlternateContent>
  <xr:revisionPtr revIDLastSave="0" documentId="13_ncr:1_{DC89320B-DA14-4874-BE17-37134FB3F6E7}" xr6:coauthVersionLast="47" xr6:coauthVersionMax="47" xr10:uidLastSave="{00000000-0000-0000-0000-000000000000}"/>
  <bookViews>
    <workbookView xWindow="-110" yWindow="-110" windowWidth="25820" windowHeight="15500" activeTab="2" xr2:uid="{356B0059-3608-4B18-B900-3B59F953D867}"/>
  </bookViews>
  <sheets>
    <sheet name="The Desk Starter" sheetId="1" r:id="rId1"/>
    <sheet name="The Mechanical Desk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3" i="3" l="1"/>
  <c r="G13" i="3"/>
  <c r="D12" i="3"/>
  <c r="D13" i="3"/>
  <c r="F6" i="3"/>
  <c r="E5" i="3"/>
  <c r="C24" i="3"/>
  <c r="B24" i="3"/>
  <c r="C23" i="3"/>
  <c r="B23" i="3"/>
  <c r="C22" i="3"/>
  <c r="B22" i="3"/>
  <c r="D10" i="3"/>
  <c r="E23" i="3"/>
  <c r="E24" i="3"/>
  <c r="D24" i="3"/>
  <c r="E22" i="3"/>
  <c r="D8" i="3"/>
  <c r="E8" i="3"/>
  <c r="G12" i="3"/>
  <c r="I5" i="3"/>
  <c r="F5" i="3"/>
  <c r="D22" i="3" l="1"/>
  <c r="F8" i="3"/>
  <c r="G8" i="3"/>
  <c r="H8" i="3"/>
  <c r="I8" i="3"/>
  <c r="E7" i="3"/>
  <c r="F7" i="3"/>
  <c r="G7" i="3"/>
  <c r="H7" i="3"/>
  <c r="I7" i="3"/>
  <c r="D7" i="3"/>
  <c r="F9" i="3" l="1"/>
  <c r="F10" i="3" s="1"/>
  <c r="E9" i="3"/>
  <c r="E10" i="3" s="1"/>
  <c r="D9" i="3"/>
  <c r="D11" i="3" l="1"/>
  <c r="D14" i="3" s="1"/>
  <c r="D21" i="3" s="1"/>
  <c r="G9" i="3"/>
  <c r="G10" i="3" s="1"/>
  <c r="F22" i="3" l="1"/>
  <c r="F23" i="3"/>
  <c r="F24" i="3"/>
  <c r="H9" i="3"/>
  <c r="H10" i="3" s="1"/>
  <c r="I9" i="3"/>
  <c r="I10" i="3" s="1"/>
  <c r="G11" i="3" l="1"/>
  <c r="G14" i="3" s="1"/>
  <c r="E21" i="3" s="1"/>
  <c r="G24" i="3" l="1"/>
  <c r="H33" i="3" s="1"/>
  <c r="I33" i="3" s="1"/>
  <c r="G22" i="3"/>
  <c r="G23" i="3"/>
</calcChain>
</file>

<file path=xl/sharedStrings.xml><?xml version="1.0" encoding="utf-8"?>
<sst xmlns="http://schemas.openxmlformats.org/spreadsheetml/2006/main" count="84" uniqueCount="71">
  <si>
    <t>WP-102Executive Dual-Head Metal Pen (Inkless)</t>
  </si>
  <si>
    <t>WP-203Executive Zinc Alloy Letter Opener</t>
  </si>
  <si>
    <t>WP-205Precision Custom Metal Bookmark</t>
  </si>
  <si>
    <t>https://detail.1688.com/offer/556369735412.html?spm=a26352.13672862.offerlist.115.29bd3836s8jVbk&amp;offerId=556369735412&amp;sortType=&amp;pageId=&amp;abBizDataType=cbuOffer&amp;hotSaleSkuId=4786720957792&amp;trace_log=normal&amp;uuid=d51c099aada14f648ad261efb20aaed9&amp;forcePC=1772627446543</t>
    <phoneticPr fontId="3" type="noConversion"/>
  </si>
  <si>
    <t>未税出厂价RMB</t>
    <phoneticPr fontId="3" type="noConversion"/>
  </si>
  <si>
    <t>含税运</t>
    <phoneticPr fontId="3" type="noConversion"/>
  </si>
  <si>
    <t>打样费</t>
    <phoneticPr fontId="3" type="noConversion"/>
  </si>
  <si>
    <t>激光雕刻</t>
    <phoneticPr fontId="3" type="noConversion"/>
  </si>
  <si>
    <t>https://detail.1688.com/offer/829898129678.html?_t=1767249028003</t>
    <phoneticPr fontId="3" type="noConversion"/>
  </si>
  <si>
    <t>？</t>
    <phoneticPr fontId="3" type="noConversion"/>
  </si>
  <si>
    <t>包装材料费</t>
    <phoneticPr fontId="3" type="noConversion"/>
  </si>
  <si>
    <t>人工包装费</t>
    <phoneticPr fontId="3" type="noConversion"/>
  </si>
  <si>
    <t>包装材料费（纸盒/纸箱）</t>
    <phoneticPr fontId="3" type="noConversion"/>
  </si>
  <si>
    <t>礼盒+内衬打样费</t>
    <phoneticPr fontId="3" type="noConversion"/>
  </si>
  <si>
    <t>https://detail.1688.com/offer/584580016798.html?spm=a26352.13672862.offerlist.45.43ebd10b4xx4ou&amp;cosite=-&amp;tracelog=p4p&amp;_p_isad=1&amp;clickid=fbe203bf56354df69405acdb447272bd&amp;sessionid=74f37fa83e094fadabcaf2828878396b</t>
    <phoneticPr fontId="3" type="noConversion"/>
  </si>
  <si>
    <t>油墨印刷</t>
    <phoneticPr fontId="3" type="noConversion"/>
  </si>
  <si>
    <t>5元/300个起</t>
    <phoneticPr fontId="3" type="noConversion"/>
  </si>
  <si>
    <t>打样费用</t>
    <phoneticPr fontId="3" type="noConversion"/>
  </si>
  <si>
    <t>默认包装是什么</t>
    <phoneticPr fontId="3" type="noConversion"/>
  </si>
  <si>
    <t>按照我图片定制的起订量和附加成本</t>
    <phoneticPr fontId="3" type="noConversion"/>
  </si>
  <si>
    <t>如果简化包装能少多少成本</t>
    <phoneticPr fontId="3" type="noConversion"/>
  </si>
  <si>
    <t>尺寸10.5*3.5cm</t>
    <phoneticPr fontId="3" type="noConversion"/>
  </si>
  <si>
    <r>
      <t>WP-101</t>
    </r>
    <r>
      <rPr>
        <sz val="14"/>
        <color rgb="FF0A0A0A"/>
        <rFont val="Arial"/>
        <family val="2"/>
      </rPr>
      <t>Brass Crown Bolt-Action Pen</t>
    </r>
  </si>
  <si>
    <r>
      <t>WP-204</t>
    </r>
    <r>
      <rPr>
        <sz val="14"/>
        <color rgb="FF0A0A0A"/>
        <rFont val="Arial"/>
        <family val="2"/>
      </rPr>
      <t>Propeller Spinning Letter Opener</t>
    </r>
  </si>
  <si>
    <r>
      <t>WP-208</t>
    </r>
    <r>
      <rPr>
        <sz val="14"/>
        <color rgb="FF0A0A0A"/>
        <rFont val="Arial"/>
        <family val="2"/>
      </rPr>
      <t>Precision Folding Aluminium Device Stand</t>
    </r>
  </si>
  <si>
    <t>无logo件的出厂价格</t>
    <phoneticPr fontId="3" type="noConversion"/>
  </si>
  <si>
    <t>含运税价格</t>
    <phoneticPr fontId="3" type="noConversion"/>
  </si>
  <si>
    <t>https://detail.1688.com/offer/979953053730.html?spm=a26352.13672862.offerlist.82.29bd3836s8jVbk&amp;cosite=-&amp;tracelog=p4p&amp;_p_isad=1&amp;clickid=044ba26962d6437396fd837d91d00cb5&amp;sessionid=e32c7d3cabba4b2d88932d2b3992791a</t>
    <phoneticPr fontId="3" type="noConversion"/>
  </si>
  <si>
    <t>190*24.5*21mm</t>
    <phoneticPr fontId="3" type="noConversion"/>
  </si>
  <si>
    <t>产品尺寸</t>
    <phoneticPr fontId="3" type="noConversion"/>
  </si>
  <si>
    <t>https://detail.1688.com/offer/752002451887.html?spm=a26352.13672862.offerlist.104.456d17f3rw0vaG&amp;offerId=752002451887&amp;sortType=&amp;pageId=&amp;abBizDataType=cbuOffer&amp;trace_log=normal&amp;uuid=d21fbef8082d48f2b14d05a8c49050d4&amp;skuId=5182140144707&amp;forcePC=1772587751318</t>
    <phoneticPr fontId="3" type="noConversion"/>
  </si>
  <si>
    <t>长138mm*10mm直径</t>
    <phoneticPr fontId="3" type="noConversion"/>
  </si>
  <si>
    <t>https://detail.1688.com/offer/1039886583797.html?spm=a26352.13672862.offerlist.14.66b12701IlZ9iy&amp;offerId=1039886583797&amp;sortType=&amp;pageId=&amp;abBizDataType=cbuOffer&amp;hotSaleSkuId=6060918956455&amp;trace_log=normal&amp;uuid=c32c112121714651ac5cb99d5d86b174&amp;forcePC=1776685164993</t>
    <phoneticPr fontId="3" type="noConversion"/>
  </si>
  <si>
    <t xml:space="preserve">	60*18*182mm</t>
    <phoneticPr fontId="3" type="noConversion"/>
  </si>
  <si>
    <t>https://detail.1688.com/offer/695850605802.html?spm=a26352.13672862.offerlist.130.6d921e62zZ4T3C&amp;offerId=695850605802&amp;sortType=&amp;pageId=&amp;abBizDataType=cbuOffer&amp;trace_log=normal&amp;uuid=2b8cf9b86fac48bb816820d827d9b7ec&amp;skuId=6031820309865&amp;forcePC=1773749495377</t>
    <phoneticPr fontId="3" type="noConversion"/>
  </si>
  <si>
    <t>144*10mm</t>
    <phoneticPr fontId="3" type="noConversion"/>
  </si>
  <si>
    <t>105*35mm</t>
    <phoneticPr fontId="3" type="noConversion"/>
  </si>
  <si>
    <t>23长米（问一下最宽处的厚度）</t>
    <phoneticPr fontId="3" type="noConversion"/>
  </si>
  <si>
    <t>可以。先按你这张图的横向三件排布来推断，书签尺寸我先按 105mm × 35mm 理解，也就是你写的 10.5 应该是 10.5cm。
WGS-001-3 · The Desk Starter
单品	产品尺寸	建议 EVA 开槽尺寸
WP-102 无墨双头金属笔	144mm × 10mm	150 × 16 × 12mm
WP-203 锌合金开信刀	230mm 全长，最厚 15mm	240 × 28 × 16mm
WP-205 金属书签	约 105 × 35mm，约 20g	112 × 42 × 5mm
推断后的 EVA 内衬尺寸
建议做：270 × 150 × 25mm
计算逻辑：
最长件是开信刀：230mm
两端预留开槽余量约 5mm × 2，再加左右边距约 15mm × 2
所以长边约：230 + 10 + 30 = 270mm
短边按三排排布：笔槽 + 间距 + 开信刀槽 + 间距 + 书签槽 + 上下边距，约落在 145–150mm
EVA 厚度按开信刀最厚 15mm 来做，建议 25mm 厚 EVA，保证底部还有缓冲层
推断后的纸盒尺寸
建议抽屉式硬盒成品外尺寸：285 × 165 × 40mm
对应结构：
EVA 内衬：270 × 150 × 25mm
抽屉内尺寸：约 275 × 155 × 30mm
纸盒外尺寸：约 285 × 165 × 40mm
这个尺寸会比较接近你图片里的比例：不拥挤，三件产品周围有黑色 EVA 边距，开信刀不会顶到盒边。最小不建议低于 275 × 158 × 38mm，否则开信刀两端和书签流苏区域会显得太挤。</t>
    <phoneticPr fontId="3" type="noConversion"/>
  </si>
  <si>
    <t>可以。按你给的真实产品尺寸来算，图片只作为排布参考，我建议 WGS-002 不要做得太小，因为中间 WP-208 的圆盘宽度 58mm，是决定盒子宽度的关键件。
WGS-002-3 · The Mechanical Desk
套件构成：WP-204 + WP-208 + WP-101
单品	产品尺寸	建议 EVA 开槽尺寸
WP-204 螺旋桨旋转开信刀	190 × 24.5 × 21mm	200 × 34 × 23mm
WP-208 折叠铝合金设备支架	181.5mm 长；圆盘宽 58mm；底部宽 28.5mm；厚约 21mm	190 × 66 × 23mm
WP-101 黄铜尾冠拨动笔	138 × 10mm	146 × 18 × 13mm
推断 EVA 内衬尺寸
建议做：275 × 210 × 30mm
计算逻辑：
长边按最长件 WP-204：190mm
加上下预留约 15–20mm/边，所以内衬长边约 230mm 起步。但为了图片这种三件竖向舒展排布，建议做到 270–275mm。
宽边按三列计算：
左侧开信刀槽 34mm + 间距 22mm + 中间支架槽 66mm + 间距 22mm + 右侧笔槽 18mm + 左右边距约 24mm × 2
合计约 210mm。
EVA 厚度要覆盖 WP-204 和 WP-208 的 21mm 厚度，建议 30mm 厚 EVA，开槽深度约 22–24mm，底部留 5–8mm 缓冲。
推断纸盒尺寸
建议磁吸翻盖硬盒成品外尺寸：295 × 230 × 50mm
对应结构：
EVA 内衬：275 × 210 × 30mm
盒内净尺寸：约 280 × 215 × 35mm
纸盒外尺寸：约 295 × 230 × 50mm
最低不建议小于
EVA：260 × 200 × 30mm
纸盒外尺寸：280 × 220 × 48mm
更推荐用 295 × 230 × 50mm，因为这个套件中间支架视觉面积大，左右还要留取物半圆孔，盒子太紧会显得像硬塞进去。</t>
    <phoneticPr fontId="3" type="noConversion"/>
  </si>
  <si>
    <t>logo定制什么位置/什么工艺</t>
    <phoneticPr fontId="3" type="noConversion"/>
  </si>
  <si>
    <t>logo大小有限制吗</t>
    <phoneticPr fontId="3" type="noConversion"/>
  </si>
  <si>
    <t>专票税运</t>
    <phoneticPr fontId="3" type="noConversion"/>
  </si>
  <si>
    <t>出厂</t>
    <phoneticPr fontId="3" type="noConversion"/>
  </si>
  <si>
    <r>
      <t>WP-203Executive Zinc Alloy Letter Opener
30</t>
    </r>
    <r>
      <rPr>
        <sz val="12"/>
        <color theme="1"/>
        <rFont val="宋体"/>
        <family val="1"/>
        <charset val="134"/>
      </rPr>
      <t>元的激光费</t>
    </r>
    <phoneticPr fontId="3" type="noConversion"/>
  </si>
  <si>
    <t>100套</t>
    <phoneticPr fontId="3" type="noConversion"/>
  </si>
  <si>
    <t>eva</t>
    <phoneticPr fontId="3" type="noConversion"/>
  </si>
  <si>
    <t>模具费</t>
    <phoneticPr fontId="3" type="noConversion"/>
  </si>
  <si>
    <t>锌合金开信刀</t>
    <phoneticPr fontId="3" type="noConversion"/>
  </si>
  <si>
    <t>铝合金圆珠笔</t>
    <phoneticPr fontId="3" type="noConversion"/>
  </si>
  <si>
    <t>金属书签</t>
    <phoneticPr fontId="3" type="noConversion"/>
  </si>
  <si>
    <t>铝合金手机支架</t>
    <phoneticPr fontId="3" type="noConversion"/>
  </si>
  <si>
    <t>A</t>
    <phoneticPr fontId="3" type="noConversion"/>
  </si>
  <si>
    <t>B</t>
    <phoneticPr fontId="3" type="noConversion"/>
  </si>
  <si>
    <t>利润</t>
    <phoneticPr fontId="3" type="noConversion"/>
  </si>
  <si>
    <t>估算货值</t>
    <phoneticPr fontId="3" type="noConversion"/>
  </si>
  <si>
    <t>600美金</t>
    <phoneticPr fontId="3" type="noConversion"/>
  </si>
  <si>
    <t>1750美金</t>
    <phoneticPr fontId="3" type="noConversion"/>
  </si>
  <si>
    <t>海运费运费</t>
    <phoneticPr fontId="3" type="noConversion"/>
  </si>
  <si>
    <t>国内运费</t>
    <phoneticPr fontId="3" type="noConversion"/>
  </si>
  <si>
    <t>合计</t>
    <phoneticPr fontId="3" type="noConversion"/>
  </si>
  <si>
    <t>海运加内陆</t>
    <phoneticPr fontId="3" type="noConversion"/>
  </si>
  <si>
    <t>fob</t>
    <phoneticPr fontId="3" type="noConversion"/>
  </si>
  <si>
    <t>cif</t>
    <phoneticPr fontId="3" type="noConversion"/>
  </si>
  <si>
    <t>dap</t>
    <phoneticPr fontId="3" type="noConversion"/>
  </si>
  <si>
    <t>fob费用</t>
    <phoneticPr fontId="3" type="noConversion"/>
  </si>
  <si>
    <t>cif 费用</t>
    <phoneticPr fontId="3" type="noConversion"/>
  </si>
  <si>
    <t>dap费用</t>
    <phoneticPr fontId="3" type="noConversion"/>
  </si>
  <si>
    <t>礼盒</t>
    <phoneticPr fontId="3" type="noConversion"/>
  </si>
  <si>
    <t>The Mechanical Desk</t>
    <phoneticPr fontId="3" type="noConversion"/>
  </si>
  <si>
    <t>the desk starter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</si>
</sst>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4"/>
      <color rgb="FF0A0A0A"/>
      <name val="Arial"/>
      <family val="2"/>
    </font>
    <font>
      <sz val="14"/>
      <color rgb="FFAAAAAA"/>
      <name val="Courier New"/>
      <family val="3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u/>
      <sz val="11"/>
      <color theme="10"/>
      <name val="等线"/>
      <family val="2"/>
      <charset val="134"/>
      <scheme val="minor"/>
    </font>
    <font>
      <sz val="12"/>
      <color theme="1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4" fillId="0" borderId="0" xfId="0" applyFont="1" applyAlignment="1">
      <alignment horizontal="left" vertical="center" wrapText="1" indent="1"/>
    </xf>
    <xf numFmtId="0" fontId="5" fillId="0" borderId="0" xfId="1">
      <alignment vertical="center"/>
    </xf>
    <xf numFmtId="0" fontId="0" fillId="0" borderId="0" xfId="0" applyAlignment="1">
      <alignment vertical="center" wrapText="1"/>
    </xf>
    <xf numFmtId="0" fontId="5" fillId="0" borderId="0" xfId="1" applyAlignment="1">
      <alignment vertical="center" wrapText="1"/>
    </xf>
    <xf numFmtId="0" fontId="2" fillId="0" borderId="0" xfId="0" applyFont="1" applyAlignment="1">
      <alignment horizontal="right" vertical="center" wrapText="1" indent="1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tail.1688.com/offer/584580016798.html?spm=a26352.13672862.offerlist.45.43ebd10b4xx4ou&amp;cosite=-&amp;tracelog=p4p&amp;_p_isad=1&amp;clickid=fbe203bf56354df69405acdb447272bd&amp;sessionid=74f37fa83e094fadabcaf2828878396b" TargetMode="External"/><Relationship Id="rId2" Type="http://schemas.openxmlformats.org/officeDocument/2006/relationships/hyperlink" Target="https://detail.1688.com/offer/829898129678.html?_t=1767249028003" TargetMode="External"/><Relationship Id="rId1" Type="http://schemas.openxmlformats.org/officeDocument/2006/relationships/hyperlink" Target="https://detail.1688.com/offer/556369735412.html?spm=a26352.13672862.offerlist.115.29bd3836s8jVbk&amp;offerId=556369735412&amp;sortType=&amp;pageId=&amp;abBizDataType=cbuOffer&amp;hotSaleSkuId=4786720957792&amp;trace_log=normal&amp;uuid=d51c099aada14f648ad261efb20aaed9&amp;forcePC=1772627446543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etail.1688.com/offer/695850605802.html?spm=a26352.13672862.offerlist.130.6d921e62zZ4T3C&amp;offerId=695850605802&amp;sortType=&amp;pageId=&amp;abBizDataType=cbuOffer&amp;trace_log=normal&amp;uuid=2b8cf9b86fac48bb816820d827d9b7ec&amp;skuId=6031820309865&amp;forcePC=1773749495377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etail.1688.com/offer/1039886583797.html?spm=a26352.13672862.offerlist.14.66b12701IlZ9iy&amp;offerId=1039886583797&amp;sortType=&amp;pageId=&amp;abBizDataType=cbuOffer&amp;hotSaleSkuId=6060918956455&amp;trace_log=normal&amp;uuid=c32c112121714651ac5cb99d5d86b174&amp;forcePC=1776685164993" TargetMode="External"/><Relationship Id="rId2" Type="http://schemas.openxmlformats.org/officeDocument/2006/relationships/hyperlink" Target="https://detail.1688.com/offer/752002451887.html?spm=a26352.13672862.offerlist.104.456d17f3rw0vaG&amp;offerId=752002451887&amp;sortType=&amp;pageId=&amp;abBizDataType=cbuOffer&amp;trace_log=normal&amp;uuid=d21fbef8082d48f2b14d05a8c49050d4&amp;skuId=5182140144707&amp;forcePC=1772587751318" TargetMode="External"/><Relationship Id="rId1" Type="http://schemas.openxmlformats.org/officeDocument/2006/relationships/hyperlink" Target="https://detail.1688.com/offer/979953053730.html?spm=a26352.13672862.offerlist.82.29bd3836s8jVbk&amp;cosite=-&amp;tracelog=p4p&amp;_p_isad=1&amp;clickid=044ba26962d6437396fd837d91d00cb5&amp;sessionid=e32c7d3cabba4b2d88932d2b3992791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FE420-12E3-48BC-A72C-042639CCA1F4}">
  <dimension ref="A1:E48"/>
  <sheetViews>
    <sheetView workbookViewId="0">
      <selection activeCell="C3" sqref="C3:E3"/>
    </sheetView>
  </sheetViews>
  <sheetFormatPr defaultRowHeight="14" x14ac:dyDescent="0.3"/>
  <cols>
    <col min="1" max="1" width="23.25" customWidth="1"/>
    <col min="2" max="2" width="18.1640625" customWidth="1"/>
    <col min="3" max="3" width="26.58203125" customWidth="1"/>
    <col min="4" max="4" width="41.5" customWidth="1"/>
    <col min="5" max="5" width="33.6640625" customWidth="1"/>
  </cols>
  <sheetData>
    <row r="1" spans="1:5" ht="98" x14ac:dyDescent="0.3">
      <c r="C1" s="4" t="s">
        <v>8</v>
      </c>
      <c r="D1" s="4" t="s">
        <v>3</v>
      </c>
      <c r="E1" s="4" t="s">
        <v>14</v>
      </c>
    </row>
    <row r="2" spans="1:5" x14ac:dyDescent="0.3">
      <c r="C2" s="4"/>
    </row>
    <row r="3" spans="1:5" ht="31" x14ac:dyDescent="0.3">
      <c r="C3" s="1" t="s">
        <v>0</v>
      </c>
      <c r="D3" s="1" t="s">
        <v>1</v>
      </c>
      <c r="E3" s="1" t="s">
        <v>2</v>
      </c>
    </row>
    <row r="4" spans="1:5" x14ac:dyDescent="0.3">
      <c r="A4" t="s">
        <v>4</v>
      </c>
      <c r="C4">
        <v>9</v>
      </c>
      <c r="D4">
        <v>9.5</v>
      </c>
      <c r="E4">
        <v>3.3</v>
      </c>
    </row>
    <row r="5" spans="1:5" x14ac:dyDescent="0.3">
      <c r="A5" t="s">
        <v>5</v>
      </c>
    </row>
    <row r="6" spans="1:5" x14ac:dyDescent="0.3">
      <c r="A6" t="s">
        <v>6</v>
      </c>
      <c r="B6" t="s">
        <v>7</v>
      </c>
      <c r="C6">
        <v>100</v>
      </c>
      <c r="D6" t="s">
        <v>9</v>
      </c>
      <c r="E6" t="s">
        <v>16</v>
      </c>
    </row>
    <row r="7" spans="1:5" x14ac:dyDescent="0.3">
      <c r="B7" t="s">
        <v>15</v>
      </c>
      <c r="C7">
        <v>200</v>
      </c>
      <c r="E7" t="s">
        <v>21</v>
      </c>
    </row>
    <row r="8" spans="1:5" x14ac:dyDescent="0.3">
      <c r="A8" t="s">
        <v>12</v>
      </c>
    </row>
    <row r="9" spans="1:5" x14ac:dyDescent="0.3">
      <c r="A9" t="s">
        <v>13</v>
      </c>
      <c r="D9" s="3"/>
    </row>
    <row r="10" spans="1:5" x14ac:dyDescent="0.3">
      <c r="A10" t="s">
        <v>11</v>
      </c>
    </row>
    <row r="13" spans="1:5" x14ac:dyDescent="0.3">
      <c r="C13" t="s">
        <v>35</v>
      </c>
      <c r="D13" t="s">
        <v>37</v>
      </c>
      <c r="E13" t="s">
        <v>36</v>
      </c>
    </row>
    <row r="14" spans="1:5" x14ac:dyDescent="0.3">
      <c r="B14" t="s">
        <v>40</v>
      </c>
    </row>
    <row r="15" spans="1:5" x14ac:dyDescent="0.3">
      <c r="B15" t="s">
        <v>25</v>
      </c>
    </row>
    <row r="16" spans="1:5" x14ac:dyDescent="0.3">
      <c r="B16" t="s">
        <v>26</v>
      </c>
    </row>
    <row r="17" spans="2:5" x14ac:dyDescent="0.3">
      <c r="B17" t="s">
        <v>41</v>
      </c>
    </row>
    <row r="18" spans="2:5" x14ac:dyDescent="0.3">
      <c r="B18" t="s">
        <v>19</v>
      </c>
    </row>
    <row r="19" spans="2:5" x14ac:dyDescent="0.3">
      <c r="B19" t="s">
        <v>17</v>
      </c>
    </row>
    <row r="20" spans="2:5" x14ac:dyDescent="0.3">
      <c r="B20" t="s">
        <v>18</v>
      </c>
      <c r="C20" t="s">
        <v>20</v>
      </c>
    </row>
    <row r="21" spans="2:5" x14ac:dyDescent="0.3">
      <c r="B21" t="s">
        <v>10</v>
      </c>
      <c r="C21" s="2" t="s">
        <v>34</v>
      </c>
    </row>
    <row r="29" spans="2:5" x14ac:dyDescent="0.3">
      <c r="C29" s="9" t="s">
        <v>38</v>
      </c>
      <c r="D29" s="10"/>
      <c r="E29" s="10"/>
    </row>
    <row r="30" spans="2:5" x14ac:dyDescent="0.3">
      <c r="C30" s="10"/>
      <c r="D30" s="10"/>
      <c r="E30" s="10"/>
    </row>
    <row r="31" spans="2:5" x14ac:dyDescent="0.3">
      <c r="C31" s="10"/>
      <c r="D31" s="10"/>
      <c r="E31" s="10"/>
    </row>
    <row r="32" spans="2:5" x14ac:dyDescent="0.3">
      <c r="C32" s="10"/>
      <c r="D32" s="10"/>
      <c r="E32" s="10"/>
    </row>
    <row r="33" spans="3:5" x14ac:dyDescent="0.3">
      <c r="C33" s="10"/>
      <c r="D33" s="10"/>
      <c r="E33" s="10"/>
    </row>
    <row r="34" spans="3:5" x14ac:dyDescent="0.3">
      <c r="C34" s="10"/>
      <c r="D34" s="10"/>
      <c r="E34" s="10"/>
    </row>
    <row r="35" spans="3:5" x14ac:dyDescent="0.3">
      <c r="C35" s="10"/>
      <c r="D35" s="10"/>
      <c r="E35" s="10"/>
    </row>
    <row r="36" spans="3:5" x14ac:dyDescent="0.3">
      <c r="C36" s="10"/>
      <c r="D36" s="10"/>
      <c r="E36" s="10"/>
    </row>
    <row r="37" spans="3:5" x14ac:dyDescent="0.3">
      <c r="C37" s="10"/>
      <c r="D37" s="10"/>
      <c r="E37" s="10"/>
    </row>
    <row r="38" spans="3:5" x14ac:dyDescent="0.3">
      <c r="C38" s="10"/>
      <c r="D38" s="10"/>
      <c r="E38" s="10"/>
    </row>
    <row r="39" spans="3:5" x14ac:dyDescent="0.3">
      <c r="C39" s="10"/>
      <c r="D39" s="10"/>
      <c r="E39" s="10"/>
    </row>
    <row r="40" spans="3:5" x14ac:dyDescent="0.3">
      <c r="C40" s="10"/>
      <c r="D40" s="10"/>
      <c r="E40" s="10"/>
    </row>
    <row r="41" spans="3:5" x14ac:dyDescent="0.3">
      <c r="C41" s="10"/>
      <c r="D41" s="10"/>
      <c r="E41" s="10"/>
    </row>
    <row r="42" spans="3:5" x14ac:dyDescent="0.3">
      <c r="C42" s="10"/>
      <c r="D42" s="10"/>
      <c r="E42" s="10"/>
    </row>
    <row r="43" spans="3:5" x14ac:dyDescent="0.3">
      <c r="C43" s="10"/>
      <c r="D43" s="10"/>
      <c r="E43" s="10"/>
    </row>
    <row r="44" spans="3:5" x14ac:dyDescent="0.3">
      <c r="C44" s="10"/>
      <c r="D44" s="10"/>
      <c r="E44" s="10"/>
    </row>
    <row r="45" spans="3:5" x14ac:dyDescent="0.3">
      <c r="C45" s="10"/>
      <c r="D45" s="10"/>
      <c r="E45" s="10"/>
    </row>
    <row r="46" spans="3:5" x14ac:dyDescent="0.3">
      <c r="C46" s="10"/>
      <c r="D46" s="10"/>
      <c r="E46" s="10"/>
    </row>
    <row r="47" spans="3:5" x14ac:dyDescent="0.3">
      <c r="C47" s="10"/>
      <c r="D47" s="10"/>
      <c r="E47" s="10"/>
    </row>
    <row r="48" spans="3:5" x14ac:dyDescent="0.3">
      <c r="C48" s="10"/>
      <c r="D48" s="10"/>
      <c r="E48" s="10"/>
    </row>
  </sheetData>
  <mergeCells count="1">
    <mergeCell ref="C29:E48"/>
  </mergeCells>
  <phoneticPr fontId="3" type="noConversion"/>
  <hyperlinks>
    <hyperlink ref="D1" r:id="rId1" display="https://detail.1688.com/offer/556369735412.html?spm=a26352.13672862.offerlist.115.29bd3836s8jVbk&amp;offerId=556369735412&amp;sortType=&amp;pageId=&amp;abBizDataType=cbuOffer&amp;hotSaleSkuId=4786720957792&amp;trace_log=normal&amp;uuid=d51c099aada14f648ad261efb20aaed9&amp;forcePC=1772627446543" xr:uid="{0F0EB32F-FC9D-44AA-8B39-B046225A0D62}"/>
    <hyperlink ref="C1" r:id="rId2" xr:uid="{89136164-3CFD-4AB1-8FE7-FDD6C402FBFD}"/>
    <hyperlink ref="E1" r:id="rId3" xr:uid="{728D8017-3C6B-4978-97BC-A7D29693829E}"/>
    <hyperlink ref="C21" r:id="rId4" xr:uid="{B1BB7D8C-9E22-44CB-A98C-7910EBABB573}"/>
  </hyperlinks>
  <pageMargins left="0.7" right="0.7" top="0.75" bottom="0.75" header="0.3" footer="0.3"/>
  <pageSetup paperSize="9" orientation="portrait" horizontalDpi="4294967293" verticalDpi="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05C5-C0AC-427C-93FD-AAD9B2F93057}">
  <dimension ref="B2:E36"/>
  <sheetViews>
    <sheetView topLeftCell="A3" workbookViewId="0">
      <selection activeCell="B9" sqref="B9"/>
    </sheetView>
  </sheetViews>
  <sheetFormatPr defaultRowHeight="14" x14ac:dyDescent="0.3"/>
  <cols>
    <col min="2" max="2" width="35.58203125" customWidth="1"/>
    <col min="3" max="3" width="25.75" customWidth="1"/>
    <col min="4" max="4" width="28.9140625" customWidth="1"/>
    <col min="5" max="5" width="39.4140625" customWidth="1"/>
  </cols>
  <sheetData>
    <row r="2" spans="2:5" ht="140" x14ac:dyDescent="0.3">
      <c r="C2" s="4" t="s">
        <v>30</v>
      </c>
      <c r="D2" s="4" t="s">
        <v>27</v>
      </c>
      <c r="E2" s="4" t="s">
        <v>32</v>
      </c>
    </row>
    <row r="3" spans="2:5" ht="194.5" x14ac:dyDescent="0.3">
      <c r="C3" s="5" t="s">
        <v>22</v>
      </c>
      <c r="D3" s="5" t="s">
        <v>23</v>
      </c>
      <c r="E3" s="5" t="s">
        <v>24</v>
      </c>
    </row>
    <row r="5" spans="2:5" x14ac:dyDescent="0.3">
      <c r="B5" t="s">
        <v>25</v>
      </c>
      <c r="C5">
        <v>29</v>
      </c>
      <c r="D5">
        <v>25</v>
      </c>
      <c r="E5">
        <v>26.8</v>
      </c>
    </row>
    <row r="6" spans="2:5" x14ac:dyDescent="0.3">
      <c r="B6" t="s">
        <v>26</v>
      </c>
    </row>
    <row r="7" spans="2:5" x14ac:dyDescent="0.3">
      <c r="B7" t="s">
        <v>19</v>
      </c>
    </row>
    <row r="8" spans="2:5" x14ac:dyDescent="0.3">
      <c r="B8" t="s">
        <v>17</v>
      </c>
    </row>
    <row r="9" spans="2:5" x14ac:dyDescent="0.3">
      <c r="B9" t="s">
        <v>18</v>
      </c>
    </row>
    <row r="10" spans="2:5" x14ac:dyDescent="0.3">
      <c r="B10" t="s">
        <v>10</v>
      </c>
    </row>
    <row r="17" spans="2:5" x14ac:dyDescent="0.3">
      <c r="B17" t="s">
        <v>29</v>
      </c>
      <c r="C17" s="3" t="s">
        <v>31</v>
      </c>
      <c r="D17" t="s">
        <v>28</v>
      </c>
      <c r="E17" t="s">
        <v>33</v>
      </c>
    </row>
    <row r="21" spans="2:5" x14ac:dyDescent="0.3">
      <c r="C21" s="9" t="s">
        <v>39</v>
      </c>
      <c r="D21" s="10"/>
      <c r="E21" s="10"/>
    </row>
    <row r="22" spans="2:5" x14ac:dyDescent="0.3">
      <c r="C22" s="10"/>
      <c r="D22" s="10"/>
      <c r="E22" s="10"/>
    </row>
    <row r="23" spans="2:5" x14ac:dyDescent="0.3">
      <c r="C23" s="10"/>
      <c r="D23" s="10"/>
      <c r="E23" s="10"/>
    </row>
    <row r="24" spans="2:5" x14ac:dyDescent="0.3">
      <c r="C24" s="10"/>
      <c r="D24" s="10"/>
      <c r="E24" s="10"/>
    </row>
    <row r="25" spans="2:5" x14ac:dyDescent="0.3">
      <c r="C25" s="10"/>
      <c r="D25" s="10"/>
      <c r="E25" s="10"/>
    </row>
    <row r="26" spans="2:5" x14ac:dyDescent="0.3">
      <c r="C26" s="10"/>
      <c r="D26" s="10"/>
      <c r="E26" s="10"/>
    </row>
    <row r="27" spans="2:5" x14ac:dyDescent="0.3">
      <c r="C27" s="10"/>
      <c r="D27" s="10"/>
      <c r="E27" s="10"/>
    </row>
    <row r="28" spans="2:5" x14ac:dyDescent="0.3">
      <c r="C28" s="10"/>
      <c r="D28" s="10"/>
      <c r="E28" s="10"/>
    </row>
    <row r="29" spans="2:5" x14ac:dyDescent="0.3">
      <c r="C29" s="10"/>
      <c r="D29" s="10"/>
      <c r="E29" s="10"/>
    </row>
    <row r="30" spans="2:5" x14ac:dyDescent="0.3">
      <c r="C30" s="10"/>
      <c r="D30" s="10"/>
      <c r="E30" s="10"/>
    </row>
    <row r="31" spans="2:5" x14ac:dyDescent="0.3">
      <c r="C31" s="10"/>
      <c r="D31" s="10"/>
      <c r="E31" s="10"/>
    </row>
    <row r="32" spans="2:5" x14ac:dyDescent="0.3">
      <c r="C32" s="10"/>
      <c r="D32" s="10"/>
      <c r="E32" s="10"/>
    </row>
    <row r="33" spans="3:5" x14ac:dyDescent="0.3">
      <c r="C33" s="10"/>
      <c r="D33" s="10"/>
      <c r="E33" s="10"/>
    </row>
    <row r="34" spans="3:5" x14ac:dyDescent="0.3">
      <c r="C34" s="10"/>
      <c r="D34" s="10"/>
      <c r="E34" s="10"/>
    </row>
    <row r="35" spans="3:5" x14ac:dyDescent="0.3">
      <c r="C35" s="10"/>
      <c r="D35" s="10"/>
      <c r="E35" s="10"/>
    </row>
    <row r="36" spans="3:5" x14ac:dyDescent="0.3">
      <c r="C36" s="10"/>
      <c r="D36" s="10"/>
      <c r="E36" s="10"/>
    </row>
  </sheetData>
  <mergeCells count="1">
    <mergeCell ref="C21:E36"/>
  </mergeCells>
  <phoneticPr fontId="3" type="noConversion"/>
  <hyperlinks>
    <hyperlink ref="D2" r:id="rId1" xr:uid="{E37F593A-AAC8-4C7F-A2EB-88F7274257DA}"/>
    <hyperlink ref="C2" r:id="rId2" xr:uid="{BC309AC3-5621-4797-B787-25D653C4DBB3}"/>
    <hyperlink ref="E2" r:id="rId3" display="https://detail.1688.com/offer/1039886583797.html?spm=a26352.13672862.offerlist.14.66b12701IlZ9iy&amp;offerId=1039886583797&amp;sortType=&amp;pageId=&amp;abBizDataType=cbuOffer&amp;hotSaleSkuId=6060918956455&amp;trace_log=normal&amp;uuid=c32c112121714651ac5cb99d5d86b174&amp;forcePC=1776685164993" xr:uid="{13BFE673-429D-4285-9CB7-50A4B380E4F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17FBA-7D19-4F66-92E5-8B5D0ECC5844}">
  <dimension ref="A2:I45"/>
  <sheetViews>
    <sheetView tabSelected="1" workbookViewId="0">
      <selection activeCell="E30" sqref="E30"/>
    </sheetView>
  </sheetViews>
  <sheetFormatPr defaultRowHeight="14" x14ac:dyDescent="0.3"/>
  <cols>
    <col min="1" max="1" width="11" customWidth="1"/>
    <col min="4" max="4" width="23.5" customWidth="1"/>
    <col min="5" max="5" width="25" customWidth="1"/>
    <col min="6" max="6" width="27" customWidth="1"/>
    <col min="7" max="7" width="29.33203125" customWidth="1"/>
    <col min="8" max="8" width="29.1640625" customWidth="1"/>
    <col min="9" max="9" width="35.25" customWidth="1"/>
  </cols>
  <sheetData>
    <row r="2" spans="1:9" x14ac:dyDescent="0.3">
      <c r="A2" t="s">
        <v>45</v>
      </c>
    </row>
    <row r="3" spans="1:9" ht="47" x14ac:dyDescent="0.3">
      <c r="D3" s="1" t="s">
        <v>0</v>
      </c>
      <c r="E3" s="1" t="s">
        <v>44</v>
      </c>
      <c r="F3" s="1" t="s">
        <v>2</v>
      </c>
      <c r="G3" s="1" t="s">
        <v>22</v>
      </c>
      <c r="H3" s="1" t="s">
        <v>23</v>
      </c>
      <c r="I3" s="1" t="s">
        <v>24</v>
      </c>
    </row>
    <row r="4" spans="1:9" x14ac:dyDescent="0.3">
      <c r="A4" t="s">
        <v>43</v>
      </c>
      <c r="E4">
        <v>10.45</v>
      </c>
      <c r="F4" s="7">
        <v>4.5</v>
      </c>
      <c r="G4">
        <v>29</v>
      </c>
      <c r="H4">
        <v>26</v>
      </c>
      <c r="I4">
        <v>27</v>
      </c>
    </row>
    <row r="5" spans="1:9" x14ac:dyDescent="0.3">
      <c r="A5" t="s">
        <v>42</v>
      </c>
      <c r="D5">
        <v>11</v>
      </c>
      <c r="E5">
        <f>10.45*1.1</f>
        <v>11.495000000000001</v>
      </c>
      <c r="F5" s="7">
        <f>F4*1.1</f>
        <v>4.95</v>
      </c>
      <c r="G5">
        <v>33</v>
      </c>
      <c r="H5">
        <v>28.88</v>
      </c>
      <c r="I5">
        <f>27*1.1</f>
        <v>29.700000000000003</v>
      </c>
    </row>
    <row r="6" spans="1:9" x14ac:dyDescent="0.3">
      <c r="A6" t="s">
        <v>47</v>
      </c>
      <c r="F6" s="7">
        <f>200/100</f>
        <v>2</v>
      </c>
    </row>
    <row r="7" spans="1:9" x14ac:dyDescent="0.3">
      <c r="A7" t="s">
        <v>46</v>
      </c>
      <c r="B7">
        <v>1.8</v>
      </c>
      <c r="D7">
        <f>$B$7/3</f>
        <v>0.6</v>
      </c>
      <c r="E7">
        <f t="shared" ref="E7:I8" si="0">$B$7/3</f>
        <v>0.6</v>
      </c>
      <c r="F7">
        <f t="shared" si="0"/>
        <v>0.6</v>
      </c>
      <c r="G7">
        <f t="shared" si="0"/>
        <v>0.6</v>
      </c>
      <c r="H7">
        <f t="shared" si="0"/>
        <v>0.6</v>
      </c>
      <c r="I7">
        <f t="shared" si="0"/>
        <v>0.6</v>
      </c>
    </row>
    <row r="8" spans="1:9" x14ac:dyDescent="0.3">
      <c r="A8" t="s">
        <v>68</v>
      </c>
      <c r="B8">
        <v>1.8</v>
      </c>
      <c r="D8">
        <f>$B$7/3</f>
        <v>0.6</v>
      </c>
      <c r="E8">
        <f>$B$7/3</f>
        <v>0.6</v>
      </c>
      <c r="F8">
        <f t="shared" si="0"/>
        <v>0.6</v>
      </c>
      <c r="G8">
        <f t="shared" si="0"/>
        <v>0.6</v>
      </c>
      <c r="H8">
        <f t="shared" si="0"/>
        <v>0.6</v>
      </c>
      <c r="I8">
        <f t="shared" si="0"/>
        <v>0.6</v>
      </c>
    </row>
    <row r="9" spans="1:9" x14ac:dyDescent="0.3">
      <c r="A9" t="s">
        <v>60</v>
      </c>
      <c r="D9">
        <f>D5+D7+D8</f>
        <v>12.2</v>
      </c>
      <c r="E9">
        <f>E5+E7+E8</f>
        <v>12.695</v>
      </c>
      <c r="F9">
        <f>F5+F6+F7+F8</f>
        <v>8.15</v>
      </c>
      <c r="G9">
        <f t="shared" ref="G9:I9" si="1">G5+G7+G8</f>
        <v>34.200000000000003</v>
      </c>
      <c r="H9">
        <f t="shared" si="1"/>
        <v>30.080000000000002</v>
      </c>
      <c r="I9">
        <f t="shared" si="1"/>
        <v>30.900000000000006</v>
      </c>
    </row>
    <row r="10" spans="1:9" x14ac:dyDescent="0.3">
      <c r="A10" t="s">
        <v>54</v>
      </c>
      <c r="B10">
        <v>1.3</v>
      </c>
      <c r="D10">
        <f>D9*$B$10</f>
        <v>15.86</v>
      </c>
      <c r="E10">
        <f t="shared" ref="E10:I10" si="2">E9*$B$10</f>
        <v>16.503500000000003</v>
      </c>
      <c r="F10">
        <f>F9*$B$10</f>
        <v>10.595000000000001</v>
      </c>
      <c r="G10">
        <f t="shared" si="2"/>
        <v>44.460000000000008</v>
      </c>
      <c r="H10">
        <f t="shared" si="2"/>
        <v>39.104000000000006</v>
      </c>
      <c r="I10">
        <f t="shared" si="2"/>
        <v>40.170000000000009</v>
      </c>
    </row>
    <row r="11" spans="1:9" x14ac:dyDescent="0.3">
      <c r="D11" s="8">
        <f>SUM(D10:F10)</f>
        <v>42.958500000000001</v>
      </c>
      <c r="E11" s="8"/>
      <c r="F11" s="8"/>
      <c r="G11" s="8">
        <f>SUM(G10:I10)</f>
        <v>123.73400000000004</v>
      </c>
      <c r="H11" s="8"/>
      <c r="I11" s="8"/>
    </row>
    <row r="12" spans="1:9" x14ac:dyDescent="0.3">
      <c r="A12" s="8" t="s">
        <v>59</v>
      </c>
      <c r="B12">
        <v>420</v>
      </c>
      <c r="D12" s="8">
        <f>$B$12/100</f>
        <v>4.2</v>
      </c>
      <c r="E12" s="8"/>
      <c r="F12" s="8"/>
      <c r="G12" s="8">
        <f>$B$13/100</f>
        <v>7.6</v>
      </c>
      <c r="H12" s="8"/>
      <c r="I12" s="8"/>
    </row>
    <row r="13" spans="1:9" x14ac:dyDescent="0.3">
      <c r="A13" s="8"/>
      <c r="B13">
        <v>760</v>
      </c>
      <c r="D13" s="8">
        <f>SUM(D11:F12)</f>
        <v>47.158500000000004</v>
      </c>
      <c r="E13" s="8"/>
      <c r="F13" s="8"/>
      <c r="G13" s="8">
        <f>SUM(G11:I12)</f>
        <v>131.33400000000003</v>
      </c>
      <c r="H13" s="8"/>
      <c r="I13" s="8"/>
    </row>
    <row r="14" spans="1:9" x14ac:dyDescent="0.3">
      <c r="A14" s="6">
        <v>6.77</v>
      </c>
      <c r="D14" s="8">
        <f>D13/$A$14</f>
        <v>6.9658050221565739</v>
      </c>
      <c r="E14" s="8"/>
      <c r="F14" s="8"/>
      <c r="G14" s="8">
        <f>G13/$A$14</f>
        <v>19.399409158050226</v>
      </c>
      <c r="H14" s="8"/>
      <c r="I14" s="8"/>
    </row>
    <row r="15" spans="1:9" x14ac:dyDescent="0.3">
      <c r="A15" s="8" t="s">
        <v>58</v>
      </c>
      <c r="B15">
        <v>600</v>
      </c>
    </row>
    <row r="16" spans="1:9" x14ac:dyDescent="0.3">
      <c r="A16" s="8"/>
      <c r="B16">
        <v>1000</v>
      </c>
    </row>
    <row r="17" spans="1:7" x14ac:dyDescent="0.3">
      <c r="A17" t="s">
        <v>61</v>
      </c>
      <c r="B17">
        <v>1800</v>
      </c>
    </row>
    <row r="18" spans="1:7" x14ac:dyDescent="0.3">
      <c r="B18">
        <v>3000</v>
      </c>
    </row>
    <row r="21" spans="1:7" x14ac:dyDescent="0.3">
      <c r="A21">
        <v>6.77</v>
      </c>
      <c r="D21">
        <f>D14</f>
        <v>6.9658050221565739</v>
      </c>
      <c r="E21">
        <f>G14</f>
        <v>19.399409158050226</v>
      </c>
    </row>
    <row r="22" spans="1:7" x14ac:dyDescent="0.3">
      <c r="A22" t="s">
        <v>65</v>
      </c>
      <c r="B22">
        <f>700/A21</f>
        <v>103.39734121122601</v>
      </c>
      <c r="C22">
        <f>700/A21</f>
        <v>103.39734121122601</v>
      </c>
      <c r="D22">
        <f>B22/100</f>
        <v>1.0339734121122601</v>
      </c>
      <c r="E22">
        <f>C22/100</f>
        <v>1.0339734121122601</v>
      </c>
      <c r="F22">
        <f>D21+D22</f>
        <v>7.9997784342688343</v>
      </c>
      <c r="G22">
        <f>E21+E22</f>
        <v>20.433382570162486</v>
      </c>
    </row>
    <row r="23" spans="1:7" x14ac:dyDescent="0.3">
      <c r="A23" t="s">
        <v>66</v>
      </c>
      <c r="B23">
        <f>1100/6.77</f>
        <v>162.48153618906943</v>
      </c>
      <c r="C23">
        <f>1100/A21</f>
        <v>162.48153618906943</v>
      </c>
      <c r="D23">
        <f>B23/100</f>
        <v>1.6248153618906942</v>
      </c>
      <c r="E23">
        <f t="shared" ref="E23:E24" si="3">C23/100</f>
        <v>1.6248153618906942</v>
      </c>
      <c r="F23">
        <f>D21+D23</f>
        <v>8.5906203840472681</v>
      </c>
      <c r="G23">
        <f>E21+E23</f>
        <v>21.024224519940919</v>
      </c>
    </row>
    <row r="24" spans="1:7" x14ac:dyDescent="0.3">
      <c r="A24" t="s">
        <v>67</v>
      </c>
      <c r="B24">
        <f>1900/A21</f>
        <v>280.64992614475631</v>
      </c>
      <c r="C24">
        <f>3100/6.77</f>
        <v>457.90251107828658</v>
      </c>
      <c r="D24">
        <f t="shared" ref="D24" si="4">B24/100</f>
        <v>2.8064992614475632</v>
      </c>
      <c r="E24">
        <f t="shared" si="3"/>
        <v>4.5790251107828661</v>
      </c>
      <c r="F24">
        <f>D21+D24</f>
        <v>9.7723042836041376</v>
      </c>
      <c r="G24">
        <f>E21+E24</f>
        <v>23.978434268833091</v>
      </c>
    </row>
    <row r="26" spans="1:7" x14ac:dyDescent="0.3">
      <c r="F26" t="s">
        <v>70</v>
      </c>
      <c r="G26" t="s">
        <v>69</v>
      </c>
    </row>
    <row r="27" spans="1:7" x14ac:dyDescent="0.3">
      <c r="E27" t="s">
        <v>62</v>
      </c>
      <c r="F27">
        <v>9.8000000000000007</v>
      </c>
      <c r="G27">
        <v>21.9</v>
      </c>
    </row>
    <row r="28" spans="1:7" x14ac:dyDescent="0.3">
      <c r="E28" t="s">
        <v>63</v>
      </c>
      <c r="F28">
        <v>10.8</v>
      </c>
      <c r="G28">
        <v>23.2</v>
      </c>
    </row>
    <row r="29" spans="1:7" x14ac:dyDescent="0.3">
      <c r="E29" t="s">
        <v>64</v>
      </c>
      <c r="F29">
        <v>13.2</v>
      </c>
      <c r="G29">
        <v>26.8</v>
      </c>
    </row>
    <row r="33" spans="2:9" x14ac:dyDescent="0.3">
      <c r="H33">
        <f>G29-G24</f>
        <v>2.8215657311669098</v>
      </c>
      <c r="I33">
        <f>H33/G29</f>
        <v>0.10528230340175036</v>
      </c>
    </row>
    <row r="41" spans="2:9" x14ac:dyDescent="0.3">
      <c r="D41" s="8" t="s">
        <v>52</v>
      </c>
      <c r="E41" s="8"/>
      <c r="F41" s="8" t="s">
        <v>53</v>
      </c>
      <c r="G41" s="8"/>
    </row>
    <row r="42" spans="2:9" x14ac:dyDescent="0.3">
      <c r="D42" t="s">
        <v>48</v>
      </c>
      <c r="E42">
        <v>8214100000</v>
      </c>
      <c r="F42" t="s">
        <v>48</v>
      </c>
      <c r="G42">
        <v>8214100000</v>
      </c>
    </row>
    <row r="43" spans="2:9" x14ac:dyDescent="0.3">
      <c r="D43" t="s">
        <v>49</v>
      </c>
      <c r="E43">
        <v>9608100000</v>
      </c>
      <c r="F43" t="s">
        <v>49</v>
      </c>
      <c r="G43">
        <v>9608100000</v>
      </c>
    </row>
    <row r="44" spans="2:9" x14ac:dyDescent="0.3">
      <c r="D44" t="s">
        <v>50</v>
      </c>
      <c r="E44">
        <v>8305900000</v>
      </c>
      <c r="F44" t="s">
        <v>51</v>
      </c>
      <c r="G44">
        <v>7616999000</v>
      </c>
    </row>
    <row r="45" spans="2:9" x14ac:dyDescent="0.3">
      <c r="B45" t="s">
        <v>55</v>
      </c>
      <c r="D45" s="8" t="s">
        <v>56</v>
      </c>
      <c r="E45" s="8"/>
      <c r="F45" s="8" t="s">
        <v>57</v>
      </c>
      <c r="G45" s="8"/>
    </row>
  </sheetData>
  <mergeCells count="14">
    <mergeCell ref="D11:F11"/>
    <mergeCell ref="G11:I11"/>
    <mergeCell ref="D12:F12"/>
    <mergeCell ref="G12:I12"/>
    <mergeCell ref="D14:F14"/>
    <mergeCell ref="G14:I14"/>
    <mergeCell ref="D13:F13"/>
    <mergeCell ref="G13:I13"/>
    <mergeCell ref="D41:E41"/>
    <mergeCell ref="F41:G41"/>
    <mergeCell ref="D45:E45"/>
    <mergeCell ref="F45:G45"/>
    <mergeCell ref="A12:A13"/>
    <mergeCell ref="A15:A1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The Desk Starter</vt:lpstr>
      <vt:lpstr>The Mechanical Desk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Lui</dc:creator>
  <cp:lastModifiedBy>Johnny Lui</cp:lastModifiedBy>
  <dcterms:created xsi:type="dcterms:W3CDTF">2026-06-01T13:28:09Z</dcterms:created>
  <dcterms:modified xsi:type="dcterms:W3CDTF">2026-06-10T08:31:42Z</dcterms:modified>
</cp:coreProperties>
</file>