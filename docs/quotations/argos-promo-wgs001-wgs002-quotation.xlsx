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9273f9771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5f0d3e6bf032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71717"/>
      <x:name val="Arial"/>
    </x:font>
    <x:font>
      <x:b/>
      <x:sz val="12"/>
      <x:color rgb="FF171717"/>
      <x:name val="Arial"/>
    </x:font>
    <x:font>
      <x:b/>
      <x:sz val="16"/>
      <x:color rgb="FF171717"/>
      <x:name val="Arial"/>
    </x:font>
    <x:font>
      <x:sz val="10"/>
      <x:color rgb="FF646464"/>
      <x:name val="Arial"/>
    </x:font>
    <x:font>
      <x:sz val="23"/>
      <x:color rgb="FF171717"/>
      <x:name val="Arial"/>
    </x:font>
    <x:font>
      <x:sz val="9"/>
      <x:color rgb="FF646464"/>
      <x:name val="Arial"/>
    </x:font>
    <x:font>
      <x:b/>
      <x:sz val="10"/>
      <x:color rgb="FF171717"/>
      <x:name val="Arial"/>
    </x:font>
    <x:font>
      <x:b/>
      <x:sz val="11"/>
      <x:color rgb="FF171717"/>
      <x:name val="Arial"/>
    </x:font>
    <x:font>
      <x:b/>
      <x:sz val="9"/>
      <x:color rgb="FF3A332D"/>
      <x:name val="Arial"/>
    </x:font>
    <x:font>
      <x:sz val="11"/>
      <x:color rgb="FF171717"/>
      <x:name val="Arial"/>
    </x:font>
    <x:font>
      <x:b/>
      <x:sz val="9"/>
      <x:color rgb="FFB87333"/>
      <x:name val="Arial"/>
    </x:font>
    <x:font>
      <x:sz val="9"/>
      <x:color rgb="FF17171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BFAF8"/>
      </x:patternFill>
    </x:fill>
    <x:fill>
      <x:patternFill patternType="solid">
        <x:fgColor rgb="FFDED8D1"/>
      </x:patternFill>
    </x:fill>
    <x:fill>
      <x:patternFill patternType="solid">
        <x:fgColor rgb="FFB87333"/>
      </x:patternFill>
    </x:fill>
    <x:fill>
      <x:patternFill patternType="solid">
        <x:fgColor rgb="FFF3EEE8"/>
      </x:patternFill>
    </x:fill>
    <x:fill>
      <x:patternFill patternType="solid">
        <x:fgColor rgb="FFFFFDFB"/>
      </x:patternFill>
    </x:fill>
  </x:fills>
  <x:borders count="2">
    <x:border/>
    <x:border>
      <x:left style="thin">
        <x:color rgb="FFDED8D1"/>
      </x:left>
      <x:right style="thin">
        <x:color rgb="FFDED8D1"/>
      </x:right>
      <x:top style="thin">
        <x:color rgb="FFDED8D1"/>
      </x:top>
      <x:bottom style="thin">
        <x:color rgb="FFDED8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left" vertical="center" wrapText="1"/>
    </x:xf>
    <x:xf numFmtId="0" fontId="9" fillId="5" borderId="1" xfId="0" applyNumberFormat="1" applyFont="1" applyFill="1" applyBorder="1" applyAlignment="1">
      <x:alignment horizontal="left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1" fillId="6" borderId="1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horizontal="right" vertical="center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10" fillId="6" borderId="1" xfId="0" applyNumberFormat="1" applyFont="1" applyFill="1" applyBorder="1" applyAlignment="1">
      <x:alignment horizontal="left" vertical="center" wrapText="1"/>
    </x:xf>
    <x:xf numFmtId="0" fontId="2" fillId="6" borderId="1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right" vertical="center" wrapText="1"/>
    </x:xf>
    <x:xf numFmtId="0" fontId="11" fillId="6" borderId="0" xfId="0" applyNumberFormat="1" applyFont="1" applyFill="1" applyBorder="1" applyAlignment="1">
      <x:alignment horizontal="left" vertical="center" wrapText="1"/>
    </x:xf>
    <x:xf numFmtId="0" fontId="11" fillId="6" borderId="1" xfId="0" applyNumberFormat="1" applyFont="1" applyFill="1" applyBorder="1" applyAlignment="1">
      <x:alignment horizontal="left" vertical="center" wrapText="1"/>
    </x:xf>
    <x:xf numFmtId="0" fontId="11" fillId="6" borderId="1" xfId="0" applyNumberFormat="1" applyFont="1" applyFill="1" applyBorder="1" applyAlignment="1">
      <x:alignment horizontal="left" vertical="top" wrapText="1"/>
    </x:xf>
    <x:xf numFmtId="0" fontId="8" fillId="6" borderId="1" xfId="0" applyNumberFormat="1" applyFont="1" applyFill="1" applyBorder="1" applyAlignment="1">
      <x:alignment horizontal="left" vertical="top" wrapText="1"/>
    </x:xf>
    <x:xf numFmtId="0" fontId="12" fillId="6" borderId="0" xfId="0" applyNumberFormat="1" applyFont="1" applyFill="1" applyBorder="1" applyAlignment="1">
      <x:alignment horizontal="left" vertical="center" wrapText="1"/>
    </x:xf>
    <x:xf numFmtId="0" fontId="12" fillId="6" borderId="1" xfId="0" applyNumberFormat="1" applyFont="1" applyFill="1" applyBorder="1" applyAlignment="1">
      <x:alignment horizontal="left" vertical="center" wrapText="1"/>
    </x:xf>
    <x:xf numFmtId="0" fontId="12" fillId="6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c91a17dad4e04" /><Relationship Type="http://schemas.openxmlformats.org/officeDocument/2006/relationships/theme" Target="/xl/theme/theme1.xml" Id="R8c307e80871644f4" /><Relationship Type="http://schemas.openxmlformats.org/officeDocument/2006/relationships/sharedStrings" Target="/xl/sharedStrings.xml" Id="R80914414498942bf" /><Relationship Type="http://schemas.openxmlformats.org/officeDocument/2006/relationships/worksheet" Target="/xl/worksheets/sheet1.xml" Id="R5f0d3e6bf03242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0" customHeight="1">
      <x:c r="A1" s="8" t="str">
        <x:v>Wischos Gift
China-based sourcing partner for custom metal corporate gift sets
wischosgift.com | inquiries@wischosgift.com</x:v>
      </x:c>
      <x:c r="B1" s="7"/>
      <x:c r="C1" s="7"/>
      <x:c r="D1" s="7"/>
      <x:c r="E1" s="7"/>
      <x:c r="F1" s="7"/>
      <x:c r="G1" s="5"/>
      <x:c r="H1" s="11" t="str">
        <x:v>Quotation No.  WG-ARGOS-20260602-01
Date  2 June 2026
Prepared for  Argos Promo, New Zealand
Validity  14 days, subject to freight space</x:v>
      </x:c>
      <x:c r="I1" s="11"/>
      <x:c r="J1" s="11"/>
      <x:c r="K1" s="11"/>
      <x:c r="L1" s="11"/>
    </x:row>
    <x:row r="2" ht="20" customHeight="1">
      <x:c r="A2" s="7"/>
      <x:c r="B2" s="7"/>
      <x:c r="C2" s="7"/>
      <x:c r="D2" s="7"/>
      <x:c r="E2" s="7"/>
      <x:c r="F2" s="7"/>
      <x:c r="G2" s="5"/>
      <x:c r="H2" s="11"/>
      <x:c r="I2" s="11"/>
      <x:c r="J2" s="11"/>
      <x:c r="K2" s="11"/>
      <x:c r="L2" s="11"/>
    </x:row>
    <x:row r="3" ht="20" customHeight="1">
      <x:c r="A3" s="7"/>
      <x:c r="B3" s="7"/>
      <x:c r="C3" s="7"/>
      <x:c r="D3" s="7"/>
      <x:c r="E3" s="7"/>
      <x:c r="F3" s="7"/>
      <x:c r="G3" s="5"/>
      <x:c r="H3" s="11"/>
      <x:c r="I3" s="11"/>
      <x:c r="J3" s="11"/>
      <x:c r="K3" s="11"/>
      <x:c r="L3" s="11"/>
    </x:row>
    <x:row r="4" ht="20" customHeight="1">
      <x:c r="A4" s="5"/>
      <x:c r="B4" s="5"/>
      <x:c r="C4" s="5"/>
      <x:c r="D4" s="5"/>
      <x:c r="E4" s="5"/>
      <x:c r="F4" s="5"/>
      <x:c r="G4" s="5"/>
      <x:c r="H4" s="11"/>
      <x:c r="I4" s="11"/>
      <x:c r="J4" s="11"/>
      <x:c r="K4" s="11"/>
      <x:c r="L4" s="11"/>
    </x:row>
    <x:row r="5" ht="3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8" customHeight="1">
      <x:c r="A7" s="13" t="str">
        <x:v>Quotation for Custom Metal Gift Sets</x:v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 ht="28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</x:row>
    <x:row r="10" ht="23" customHeight="1">
      <x:c r="A10" s="14" t="str">
        <x:v>Distributor reference pricing for two custom metal gift set configurations at 100 sets. Each set is designed as a starting point: component finishes, logo placement, and box details can be adjusted after artwork and packaging requirements are confirmed.</x:v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 ht="23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</x:row>
    <x:row r="13" ht="27" customHeight="1">
      <x:c r="A13" s="19" t="str">
        <x:v>Quantity
100 sets per design</x:v>
      </x:c>
      <x:c r="B13" s="17"/>
      <x:c r="C13" s="17"/>
      <x:c r="D13" s="19" t="str">
        <x:v>Currency
USD</x:v>
      </x:c>
      <x:c r="E13" s="17"/>
      <x:c r="F13" s="17"/>
      <x:c r="G13" s="19" t="str">
        <x:v>Lead Time
25-35 days after approval</x:v>
      </x:c>
      <x:c r="H13" s="17"/>
      <x:c r="I13" s="17"/>
      <x:c r="J13" s="19" t="str">
        <x:v>Destination
Auckland, New Zealand</x:v>
      </x:c>
      <x:c r="K13" s="17"/>
      <x:c r="L13" s="17"/>
    </x:row>
    <x:row r="14" ht="27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 ht="23" customHeight="1">
      <x:c r="A16" s="20"/>
      <x:c r="B16" s="21" t="str">
        <x:v>Price Summary</x:v>
      </x:c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25" t="str">
        <x:v>Set</x:v>
      </x:c>
      <x:c r="B18" s="25"/>
      <x:c r="C18" s="25" t="str">
        <x:v>Set Name</x:v>
      </x:c>
      <x:c r="D18" s="25"/>
      <x:c r="E18" s="25" t="str">
        <x:v>Quantity</x:v>
      </x:c>
      <x:c r="F18" s="25"/>
      <x:c r="G18" s="25" t="str">
        <x:v>FOB China</x:v>
      </x:c>
      <x:c r="H18" s="25"/>
      <x:c r="I18" s="25" t="str">
        <x:v>CIF Auckland Port</x:v>
      </x:c>
      <x:c r="J18" s="25"/>
      <x:c r="K18" s="25" t="str">
        <x:v>DAP Auckland Metro</x:v>
      </x:c>
      <x:c r="L18" s="25"/>
    </x:row>
    <x:row r="19" ht="43" customHeight="1">
      <x:c r="A19" s="28" t="str">
        <x:v>WGS-001-3</x:v>
      </x:c>
      <x:c r="B19" s="28"/>
      <x:c r="C19" s="29" t="str">
        <x:v>The Desk Starter</x:v>
      </x:c>
      <x:c r="D19" s="29"/>
      <x:c r="E19" s="29" t="str">
        <x:v>100 sets</x:v>
      </x:c>
      <x:c r="F19" s="29"/>
      <x:c r="G19" s="30" t="str">
        <x:f>"USD "&amp;TEXT(10.8,"0.00")&amp;" / set"&amp;CHAR(10)&amp;"USD "&amp;TEXT(10.8*100,"#,##0")&amp;" total"</x:f>
        <x:v>USD 10.80 / set
USD 1,080 total</x:v>
      </x:c>
      <x:c r="H19" s="30"/>
      <x:c r="I19" s="30" t="str">
        <x:f>"USD "&amp;TEXT(14.8,"0.00")&amp;" / set"&amp;CHAR(10)&amp;"USD "&amp;TEXT(14.8*100,"#,##0")&amp;" total"</x:f>
        <x:v>USD 14.80 / set
USD 1,480 total</x:v>
      </x:c>
      <x:c r="J19" s="30"/>
      <x:c r="K19" s="30" t="str">
        <x:f>"USD "&amp;TEXT(19.8,"0.00")&amp;" / set"&amp;CHAR(10)&amp;"USD "&amp;TEXT(19.8*100,"#,##0")&amp;" total"</x:f>
        <x:v>USD 19.80 / set
USD 1,980 total</x:v>
      </x:c>
      <x:c r="L19" s="30"/>
    </x:row>
    <x:row r="20" ht="43" customHeight="1">
      <x:c r="A20" s="28" t="str">
        <x:v>WGS-002-3</x:v>
      </x:c>
      <x:c r="B20" s="28"/>
      <x:c r="C20" s="29" t="str">
        <x:v>The Mechanical Desk</x:v>
      </x:c>
      <x:c r="D20" s="29"/>
      <x:c r="E20" s="29" t="str">
        <x:v>100 sets</x:v>
      </x:c>
      <x:c r="F20" s="29"/>
      <x:c r="G20" s="30" t="str">
        <x:f>"USD "&amp;TEXT(26.8,"0.00")&amp;" / set"&amp;CHAR(10)&amp;"USD "&amp;TEXT(26.8*100,"#,##0")&amp;" total"</x:f>
        <x:v>USD 26.80 / set
USD 2,680 total</x:v>
      </x:c>
      <x:c r="H20" s="30"/>
      <x:c r="I20" s="30" t="str">
        <x:f>"USD "&amp;TEXT(32.8,"0.00")&amp;" / set"&amp;CHAR(10)&amp;"USD "&amp;TEXT(32.8*100,"#,##0")&amp;" total"</x:f>
        <x:v>USD 32.80 / set
USD 3,280 total</x:v>
      </x:c>
      <x:c r="J20" s="30"/>
      <x:c r="K20" s="30" t="str">
        <x:f>"USD "&amp;TEXT(39.8,"0.00")&amp;" / set"&amp;CHAR(10)&amp;"USD "&amp;TEXT(39.8*100,"#,##0")&amp;" total"</x:f>
        <x:v>USD 39.80 / set
USD 3,980 total</x:v>
      </x:c>
      <x:c r="L20" s="30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 ht="24" customHeight="1">
      <x:c r="A23" s="33" t="str">
        <x:v>WGS-001-3
The Desk Starter
Entry-tier desk gift set for daily desk visibility: writing, opening mail, and branded page marking.</x:v>
      </x:c>
      <x:c r="B23" s="32"/>
      <x:c r="C23" s="32"/>
      <x:c r="D23" s="32"/>
      <x:c r="E23" s="32"/>
      <x:c r="F23" s="32"/>
      <x:c r="G23" s="32"/>
      <x:c r="H23" s="32"/>
      <x:c r="I23" s="32"/>
      <x:c r="J23" s="36" t="str">
        <x:f>"Distributor reference"&amp;CHAR(10)&amp;"USD "&amp;TEXT(10.8,"0.00")&amp;CHAR(10)&amp;"per set FOB China"</x:f>
        <x:v>Distributor reference
USD 10.80
per set FOB China</x:v>
      </x:c>
      <x:c r="K23" s="36"/>
      <x:c r="L23" s="36"/>
    </x:row>
    <x:row r="24" ht="24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6"/>
      <x:c r="K24" s="36"/>
      <x:c r="L24" s="36"/>
    </x:row>
    <x:row r="25" ht="24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6"/>
      <x:c r="K25" s="36"/>
      <x:c r="L25" s="36"/>
    </x:row>
    <x:row r="26" ht="24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6"/>
      <x:c r="K26" s="36"/>
      <x:c r="L26" s="36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 ht="23" customHeight="1">
      <x:c r="A28" s="39" t="str">
        <x:v>WP-102</x:v>
      </x:c>
      <x:c r="B28" s="39"/>
      <x:c r="C28" s="39"/>
      <x:c r="D28" s="39"/>
      <x:c r="E28" s="39" t="str">
        <x:v>WP-203</x:v>
      </x:c>
      <x:c r="F28" s="39"/>
      <x:c r="G28" s="39"/>
      <x:c r="H28" s="39"/>
      <x:c r="I28" s="39" t="str">
        <x:v>WP-205</x:v>
      </x:c>
      <x:c r="J28" s="39"/>
      <x:c r="K28" s="39"/>
      <x:c r="L28" s="39"/>
    </x:row>
    <x:row r="29" ht="23" customHeight="1">
      <x:c r="A29" s="40" t="str">
        <x:v>Executive Dual-Head Metal Pen</x:v>
      </x:c>
      <x:c r="B29" s="40"/>
      <x:c r="C29" s="40"/>
      <x:c r="D29" s="40"/>
      <x:c r="E29" s="40" t="str">
        <x:v>Executive Zinc Alloy Letter Opener</x:v>
      </x:c>
      <x:c r="F29" s="40"/>
      <x:c r="G29" s="40"/>
      <x:c r="H29" s="40"/>
      <x:c r="I29" s="40" t="str">
        <x:v>Precision Custom Metal Bookmark</x:v>
      </x:c>
      <x:c r="J29" s="40"/>
      <x:c r="K29" s="40"/>
      <x:c r="L29" s="40"/>
    </x:row>
    <x:row r="30" ht="23" customHeight="1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 ht="23" customHeight="1">
      <x:c r="A31" s="43" t="str">
        <x:v>- Function: Inkless tip + rollerball writing end
- Material: Aluminium alloy body with gunmetal finish
- Size / Weight: approx. 144 x 10mm | 23.3g
- Logo: Pen body or clip, by laser marking, UV print, or pad print</x:v>
      </x:c>
      <x:c r="B31" s="43"/>
      <x:c r="C31" s="43"/>
      <x:c r="D31" s="43"/>
      <x:c r="E31" s="43" t="str">
        <x:v>- Function: Desk letter opener for envelopes and documents
- Material: Zinc alloy with high-gloss electroplating
- Size / Weight: approx. 230mm total length | 74g
- Logo: Flat handle surface, laser etching or screen print</x:v>
      </x:c>
      <x:c r="F31" s="43"/>
      <x:c r="G31" s="43"/>
      <x:c r="H31" s="43"/>
      <x:c r="I31" s="43" t="str">
        <x:v>- Function: Rigid page marker and flat desk-visible brand surface
- Material: Brass, stainless steel, or zinc alloy by final brief
- Size / Weight: approx. 120-150mm | around 20g
- Logo: Laser engraving, chemical etching, or profile cutting</x:v>
      </x:c>
      <x:c r="J31" s="43"/>
      <x:c r="K31" s="43"/>
      <x:c r="L31" s="43"/>
    </x:row>
    <x:row r="32" ht="23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23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23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23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23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23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 ht="24" customHeight="1">
      <x:c r="A41" s="33" t="str">
        <x:v>WGS-002-3
The Mechanical Desk
Executive desk gift set built around three tactile actions: writing, opening mail, and holding a device.</x:v>
      </x:c>
      <x:c r="B41" s="32"/>
      <x:c r="C41" s="32"/>
      <x:c r="D41" s="32"/>
      <x:c r="E41" s="32"/>
      <x:c r="F41" s="32"/>
      <x:c r="G41" s="32"/>
      <x:c r="H41" s="32"/>
      <x:c r="I41" s="32"/>
      <x:c r="J41" s="36" t="str">
        <x:f>"Distributor reference"&amp;CHAR(10)&amp;"USD "&amp;TEXT(26.8,"0.00")&amp;CHAR(10)&amp;"per set FOB China"</x:f>
        <x:v>Distributor reference
USD 26.80
per set FOB China</x:v>
      </x:c>
      <x:c r="K41" s="36"/>
      <x:c r="L41" s="36"/>
    </x:row>
    <x:row r="42" ht="24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6"/>
      <x:c r="K42" s="36"/>
      <x:c r="L42" s="36"/>
    </x:row>
    <x:row r="43" ht="24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6"/>
      <x:c r="K43" s="36"/>
      <x:c r="L43" s="36"/>
    </x:row>
    <x:row r="44" ht="24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6"/>
      <x:c r="K44" s="36"/>
      <x:c r="L44" s="36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 ht="23" customHeight="1">
      <x:c r="A46" s="39" t="str">
        <x:v>WP-101</x:v>
      </x:c>
      <x:c r="B46" s="39"/>
      <x:c r="C46" s="39"/>
      <x:c r="D46" s="39"/>
      <x:c r="E46" s="39" t="str">
        <x:v>WP-204</x:v>
      </x:c>
      <x:c r="F46" s="39"/>
      <x:c r="G46" s="39"/>
      <x:c r="H46" s="39"/>
      <x:c r="I46" s="39" t="str">
        <x:v>WP-208</x:v>
      </x:c>
      <x:c r="J46" s="39"/>
      <x:c r="K46" s="39"/>
      <x:c r="L46" s="39"/>
    </x:row>
    <x:row r="47" ht="23" customHeight="1">
      <x:c r="A47" s="40" t="str">
        <x:v>Brass Crown Bolt-Action Pen</x:v>
      </x:c>
      <x:c r="B47" s="40"/>
      <x:c r="C47" s="40"/>
      <x:c r="D47" s="40"/>
      <x:c r="E47" s="40" t="str">
        <x:v>Propeller Spinning Letter Opener</x:v>
      </x:c>
      <x:c r="F47" s="40"/>
      <x:c r="G47" s="40"/>
      <x:c r="H47" s="40"/>
      <x:c r="I47" s="40" t="str">
        <x:v>Precision Folding Aluminium Device Stand</x:v>
      </x:c>
      <x:c r="J47" s="40"/>
      <x:c r="K47" s="40"/>
      <x:c r="L47" s="40"/>
    </x:row>
    <x:row r="48" ht="23" customHeight="1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 ht="23" customHeight="1">
      <x:c r="A49" s="43" t="str">
        <x:v>- Function: One-handed bolt-action pen with G2 refill
- Material: Brass details, aluminium body, stainless steel clip
- Size / Weight: approx. 138 x 10mm | 28g
- Logo: Pen body, clip, or tail crown depending on artwork</x:v>
      </x:c>
      <x:c r="B49" s="43"/>
      <x:c r="C49" s="43"/>
      <x:c r="D49" s="43"/>
      <x:c r="E49" s="43" t="str">
        <x:v>- Function: Letter opener with visible propeller spin mechanism
- Material: Zinc alloy, matte brushed electroplated silver finish
- Size / Weight: approx. 187 x 19 x 4mm | 85g
- Logo: Flat blade surface or propeller face</x:v>
      </x:c>
      <x:c r="F49" s="43"/>
      <x:c r="G49" s="43"/>
      <x:c r="H49" s="43"/>
      <x:c r="I49" s="43" t="str">
        <x:v>- Function: Folding stand for phone or tablet desk use
- Material: Anodised aluminium alloy with silicone contact pads
- Size / Weight: approx. 182 x 60 x 18mm folded | 150g
- Logo: Flat aluminium base panel, laser marking</x:v>
      </x:c>
      <x:c r="J49" s="43"/>
      <x:c r="K49" s="43"/>
      <x:c r="L49" s="43"/>
    </x:row>
    <x:row r="50" ht="23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</x:row>
    <x:row r="51" ht="23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</x:row>
    <x:row r="52" ht="23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</x:row>
    <x:row r="53" ht="23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</x:row>
    <x:row r="54" ht="23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</x:row>
    <x:row r="55" ht="23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 ht="23" customHeight="1">
      <x:c r="A59" s="20"/>
      <x:c r="B59" s="21" t="str">
        <x:v>Quotation Notes</x:v>
      </x:c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 ht="23" customHeight="1">
      <x:c r="A61" s="43" t="str">
        <x:v>Included Assumptions
- Standard logo marking on each component, one standard position per item.
- Standard set packaging with EVA insert; final box structure and artwork subject to approval.
- Production starts after artwork, sample direction, and deposit are confirmed.
- Component colours and finishes are subject to supplier availability at order confirmation.</x:v>
      </x:c>
      <x:c r="B61" s="43"/>
      <x:c r="C61" s="43"/>
      <x:c r="D61" s="43"/>
      <x:c r="E61" s="43"/>
      <x:c r="F61" s="43"/>
      <x:c r="G61" s="43" t="str">
        <x:v>Freight and Tax Notes
- CIF Auckland includes estimated sea freight and insurance to Auckland port only.
- DAP Auckland metro is duties and taxes unpaid. NZ GST, duty, customs clearance, inspection, storage, and remote-area delivery are excluded.
- DAP pricing is subject to confirmed carton size, gross weight, delivery address, and freight validity.
- For Wellington, Christchurch, or non-metro delivery, inland delivery may be requoted.</x:v>
      </x:c>
      <x:c r="H61" s="43"/>
      <x:c r="I61" s="43"/>
      <x:c r="J61" s="43"/>
      <x:c r="K61" s="43"/>
      <x:c r="L61" s="43"/>
    </x:row>
    <x:row r="62" ht="23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</x:row>
    <x:row r="63" ht="23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</x:row>
    <x:row r="64" ht="23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</x:row>
    <x:row r="65" ht="23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</x:row>
    <x:row r="66" ht="23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</x:row>
    <x:row r="67" ht="23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</x:row>
    <x:row r="68" ht="23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</x:row>
    <x:row r="69" ht="23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</x:row>
    <x:row r="70" ht="23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 ht="23" customHeight="1">
      <x:c r="A71" s="43" t="str">
        <x:v>Optional Upgrades
- Magnetic rigid box, drawer rigid box, soft-touch lamination, printed liner, foil stamping, or debossed box logo.
- Additional logo position, full-colour UV printing, Pantone print matching, or custom bookmark silhouette.
- Reference sample or custom pre-production sample can be quoted separately after project direction is confirmed.</x:v>
      </x:c>
      <x:c r="B71" s="43"/>
      <x:c r="C71" s="43"/>
      <x:c r="D71" s="43"/>
      <x:c r="E71" s="43"/>
      <x:c r="F71" s="43"/>
      <x:c r="G71" s="43" t="str">
        <x:v>Payment Terms
- 50% deposit to start production, 50% balance before shipment unless otherwise agreed.
- Bank fees and any destination charges not listed in this quotation are for buyer's account.
- Quotation is valid for 14 days and may change if freight rates, material costs, or exchange conditions move significantly.</x:v>
      </x:c>
      <x:c r="H71" s="43"/>
      <x:c r="I71" s="43"/>
      <x:c r="J71" s="43"/>
      <x:c r="K71" s="43"/>
      <x:c r="L71" s="43"/>
    </x:row>
    <x:row r="72" ht="23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</x:row>
    <x:row r="73" ht="23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</x:row>
    <x:row r="74" ht="23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</x:row>
    <x:row r="75" ht="23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</x:row>
    <x:row r="76" ht="23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</x:row>
    <x:row r="77" ht="23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</x:row>
    <x:row r="78" ht="23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 ht="3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 ht="20" customHeight="1">
      <x:c r="A83" s="44" t="str">
        <x:v>Wischos Gift Trading Co.
Custom metal gift set sourcing and set development from China.</x:v>
      </x:c>
      <x:c r="B83" s="44"/>
      <x:c r="C83" s="44"/>
      <x:c r="D83" s="44"/>
      <x:c r="E83" s="44"/>
      <x:c r="F83" s="44"/>
      <x:c r="G83" s="5"/>
      <x:c r="H83" s="46" t="str">
        <x:v>wischosgift.com
inquiries@wischosgift.com</x:v>
      </x:c>
      <x:c r="I83" s="46"/>
      <x:c r="J83" s="46"/>
      <x:c r="K83" s="46"/>
      <x:c r="L83" s="46"/>
    </x:row>
    <x:row r="84" ht="20" customHeight="1">
      <x:c r="A84" s="44"/>
      <x:c r="B84" s="44"/>
      <x:c r="C84" s="44"/>
      <x:c r="D84" s="44"/>
      <x:c r="E84" s="44"/>
      <x:c r="F84" s="44"/>
      <x:c r="G84" s="5"/>
      <x:c r="H84" s="46"/>
      <x:c r="I84" s="46"/>
      <x:c r="J84" s="46"/>
      <x:c r="K84" s="46"/>
      <x:c r="L84" s="46"/>
    </x:row>
    <x:row r="85" ht="20" customHeight="1">
      <x:c r="A85" s="44"/>
      <x:c r="B85" s="44"/>
      <x:c r="C85" s="44"/>
      <x:c r="D85" s="44"/>
      <x:c r="E85" s="44"/>
      <x:c r="F85" s="44"/>
      <x:c r="G85" s="5"/>
      <x:c r="H85" s="46"/>
      <x:c r="I85" s="46"/>
      <x:c r="J85" s="46"/>
      <x:c r="K85" s="46"/>
      <x:c r="L85" s="46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</x:sheetData>
  <x:mergeCells>
    <x:mergeCell ref="A1:F3"/>
    <x:mergeCell ref="H1:L4"/>
    <x:mergeCell ref="A7:L8"/>
    <x:mergeCell ref="A10:L11"/>
    <x:mergeCell ref="A13:C14"/>
    <x:mergeCell ref="D13:F14"/>
    <x:mergeCell ref="G13:I14"/>
    <x:mergeCell ref="J13:L14"/>
    <x:mergeCell ref="B16:L16"/>
    <x:mergeCell ref="A18:B18"/>
    <x:mergeCell ref="C18:D18"/>
    <x:mergeCell ref="E18:F18"/>
    <x:mergeCell ref="G18:H18"/>
    <x:mergeCell ref="I18:J18"/>
    <x:mergeCell ref="K18:L18"/>
    <x:mergeCell ref="A19:B19"/>
    <x:mergeCell ref="C19:D19"/>
    <x:mergeCell ref="E19:F19"/>
    <x:mergeCell ref="G19:H19"/>
    <x:mergeCell ref="I19:J19"/>
    <x:mergeCell ref="K19:L19"/>
    <x:mergeCell ref="A20:B20"/>
    <x:mergeCell ref="C20:D20"/>
    <x:mergeCell ref="E20:F20"/>
    <x:mergeCell ref="G20:H20"/>
    <x:mergeCell ref="I20:J20"/>
    <x:mergeCell ref="K20:L20"/>
    <x:mergeCell ref="A23:I26"/>
    <x:mergeCell ref="J23:L26"/>
    <x:mergeCell ref="A28:D28"/>
    <x:mergeCell ref="A29:D30"/>
    <x:mergeCell ref="A31:D37"/>
    <x:mergeCell ref="E28:H28"/>
    <x:mergeCell ref="E29:H30"/>
    <x:mergeCell ref="E31:H37"/>
    <x:mergeCell ref="I28:L28"/>
    <x:mergeCell ref="I29:L30"/>
    <x:mergeCell ref="I31:L37"/>
    <x:mergeCell ref="A41:I44"/>
    <x:mergeCell ref="J41:L44"/>
    <x:mergeCell ref="A46:D46"/>
    <x:mergeCell ref="A47:D48"/>
    <x:mergeCell ref="A49:D55"/>
    <x:mergeCell ref="E46:H46"/>
    <x:mergeCell ref="E47:H48"/>
    <x:mergeCell ref="E49:H55"/>
    <x:mergeCell ref="I46:L46"/>
    <x:mergeCell ref="I47:L48"/>
    <x:mergeCell ref="I49:L55"/>
    <x:mergeCell ref="B59:L59"/>
    <x:mergeCell ref="A61:F69"/>
    <x:mergeCell ref="G61:L69"/>
    <x:mergeCell ref="A71:F78"/>
    <x:mergeCell ref="G71:L78"/>
    <x:mergeCell ref="A83:F85"/>
    <x:mergeCell ref="H83:L85"/>
  </x:mergeCells>
  <x:pageMargins left="0.7" right="0.7" top="0.75" bottom="0.75" header="0.3" footer="0.3"/>
</x:worksheet>
</file>