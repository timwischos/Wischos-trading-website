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\Wischos trading website\"/>
    </mc:Choice>
  </mc:AlternateContent>
  <xr:revisionPtr revIDLastSave="0" documentId="13_ncr:1_{733BF8D6-2F90-4AAE-BDE3-1FE427A08368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⚙️ 配置" sheetId="1" r:id="rId1"/>
    <sheet name="📦 单品成本" sheetId="2" r:id="rId2"/>
    <sheet name="🎁 套件FOB" sheetId="3" r:id="rId3"/>
    <sheet name="💰 完整报价" sheetId="4" r:id="rId4"/>
    <sheet name="灵活外箱" sheetId="5" r:id="rId5"/>
  </sheets>
  <externalReferences>
    <externalReference r:id="rId6"/>
    <externalReference r:id="rId7"/>
  </externalReferences>
  <definedNames>
    <definedName name="EXRATE" localSheetId="0">'⚙️ 配置'!$B$6</definedName>
    <definedName name="EXRATE" localSheetId="3">'[1]⚙️ 配置'!$B$6</definedName>
    <definedName name="EXRATE">'[2]⚙️ 配置'!$B$6</definedName>
    <definedName name="FOB_WGS_001">'🎁 套件FOB'!$E$19</definedName>
    <definedName name="FOB_WGS_002">'🎁 套件FOB'!$E$35</definedName>
    <definedName name="FOB_WGS_003">'🎁 套件FOB'!$E$51</definedName>
    <definedName name="FOB_WGS_004">'🎁 套件FOB'!$E$67</definedName>
    <definedName name="FOB_WGS_005">'🎁 套件FOB'!$E$83</definedName>
    <definedName name="FOB_WGS_006">'🎁 套件FOB'!$E$99</definedName>
    <definedName name="FOB_WGS_007">'🎁 套件FOB'!$E$115</definedName>
    <definedName name="FOB_WGS_008">'🎁 套件FOB'!$E$132</definedName>
    <definedName name="FREIGHT_CBM" localSheetId="0">'⚙️ 配置'!$B$9</definedName>
    <definedName name="FREIGHT_CBM">'[1]⚙️ 配置'!$B$9</definedName>
    <definedName name="INS_RATE" localSheetId="0">'⚙️ 配置'!$B$11</definedName>
    <definedName name="INS_RATE" localSheetId="3">'[1]⚙️ 配置'!$B$11</definedName>
    <definedName name="INS_RATE">#REF!</definedName>
    <definedName name="LCL_MIN" localSheetId="0">'⚙️ 配置'!$B$10</definedName>
    <definedName name="LCL_MIN" localSheetId="3">'[1]⚙️ 配置'!$B$10</definedName>
    <definedName name="LCL_MIN">#REF!</definedName>
    <definedName name="MARKUP" localSheetId="0">'⚙️ 配置'!$B$8</definedName>
    <definedName name="MARKUP">'[1]⚙️ 配置'!$B$8</definedName>
    <definedName name="VATRATE" localSheetId="0">'⚙️ 配置'!$B$7</definedName>
    <definedName name="VATRATE" localSheetId="3">'[1]⚙️ 配置'!$B$7</definedName>
    <definedName name="VATRAT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4" l="1"/>
  <c r="B24" i="4" s="1"/>
  <c r="B35" i="4"/>
  <c r="B32" i="4"/>
  <c r="B33" i="4" s="1"/>
  <c r="B30" i="4"/>
  <c r="B28" i="4"/>
  <c r="B29" i="4" s="1"/>
  <c r="F8" i="4"/>
  <c r="F9" i="4"/>
  <c r="F10" i="4"/>
  <c r="F11" i="4"/>
  <c r="F12" i="4"/>
  <c r="F13" i="4"/>
  <c r="F14" i="4"/>
  <c r="F7" i="4"/>
  <c r="E8" i="4"/>
  <c r="E9" i="4"/>
  <c r="E10" i="4"/>
  <c r="E11" i="4"/>
  <c r="E12" i="4"/>
  <c r="E13" i="4"/>
  <c r="E14" i="4"/>
  <c r="E7" i="4"/>
  <c r="B21" i="4"/>
  <c r="B22" i="4" s="1"/>
  <c r="E37" i="2"/>
  <c r="F37" i="2" s="1"/>
  <c r="H37" i="2" s="1"/>
  <c r="C122" i="3" s="1"/>
  <c r="E122" i="3" s="1"/>
  <c r="F36" i="2"/>
  <c r="H36" i="2" s="1"/>
  <c r="C105" i="3" s="1"/>
  <c r="E105" i="3" s="1"/>
  <c r="E36" i="2"/>
  <c r="E35" i="2"/>
  <c r="F35" i="2" s="1"/>
  <c r="H35" i="2" s="1"/>
  <c r="E34" i="2"/>
  <c r="F34" i="2" s="1"/>
  <c r="H34" i="2" s="1"/>
  <c r="E33" i="2"/>
  <c r="F33" i="2" s="1"/>
  <c r="H33" i="2" s="1"/>
  <c r="F32" i="2"/>
  <c r="H32" i="2" s="1"/>
  <c r="E32" i="2"/>
  <c r="E31" i="2"/>
  <c r="F31" i="2" s="1"/>
  <c r="H31" i="2" s="1"/>
  <c r="C72" i="3" s="1"/>
  <c r="E72" i="3" s="1"/>
  <c r="E30" i="2"/>
  <c r="F30" i="2" s="1"/>
  <c r="H30" i="2" s="1"/>
  <c r="E29" i="2"/>
  <c r="F29" i="2" s="1"/>
  <c r="H29" i="2" s="1"/>
  <c r="C120" i="3" s="1"/>
  <c r="E120" i="3" s="1"/>
  <c r="F28" i="2"/>
  <c r="H28" i="2" s="1"/>
  <c r="C73" i="3" s="1"/>
  <c r="E73" i="3" s="1"/>
  <c r="E28" i="2"/>
  <c r="E27" i="2"/>
  <c r="F27" i="2" s="1"/>
  <c r="H27" i="2" s="1"/>
  <c r="C57" i="3" s="1"/>
  <c r="E57" i="3" s="1"/>
  <c r="E26" i="2"/>
  <c r="F26" i="2" s="1"/>
  <c r="H26" i="2" s="1"/>
  <c r="C56" i="3" s="1"/>
  <c r="E56" i="3" s="1"/>
  <c r="E25" i="2"/>
  <c r="F25" i="2" s="1"/>
  <c r="H25" i="2" s="1"/>
  <c r="C41" i="3" s="1"/>
  <c r="E41" i="3" s="1"/>
  <c r="E24" i="2"/>
  <c r="F24" i="2" s="1"/>
  <c r="H24" i="2" s="1"/>
  <c r="C40" i="3" s="1"/>
  <c r="E40" i="3" s="1"/>
  <c r="E23" i="2"/>
  <c r="F23" i="2" s="1"/>
  <c r="H23" i="2" s="1"/>
  <c r="C39" i="3" s="1"/>
  <c r="E39" i="3" s="1"/>
  <c r="E42" i="3" s="1"/>
  <c r="E50" i="3" s="1"/>
  <c r="E22" i="2"/>
  <c r="F22" i="2" s="1"/>
  <c r="H22" i="2" s="1"/>
  <c r="C87" i="3" s="1"/>
  <c r="E87" i="3" s="1"/>
  <c r="E21" i="2"/>
  <c r="F21" i="2" s="1"/>
  <c r="H21" i="2" s="1"/>
  <c r="E20" i="2"/>
  <c r="F20" i="2" s="1"/>
  <c r="H20" i="2" s="1"/>
  <c r="E19" i="2"/>
  <c r="F19" i="2" s="1"/>
  <c r="H19" i="2" s="1"/>
  <c r="C104" i="3" s="1"/>
  <c r="E104" i="3" s="1"/>
  <c r="E18" i="2"/>
  <c r="F18" i="2" s="1"/>
  <c r="H18" i="2" s="1"/>
  <c r="C9" i="3" s="1"/>
  <c r="E9" i="3" s="1"/>
  <c r="E17" i="2"/>
  <c r="F17" i="2" s="1"/>
  <c r="H17" i="2" s="1"/>
  <c r="C24" i="3" s="1"/>
  <c r="E24" i="3" s="1"/>
  <c r="E16" i="2"/>
  <c r="F16" i="2" s="1"/>
  <c r="H16" i="2" s="1"/>
  <c r="C8" i="3" s="1"/>
  <c r="E8" i="3" s="1"/>
  <c r="E15" i="2"/>
  <c r="F15" i="2" s="1"/>
  <c r="H15" i="2" s="1"/>
  <c r="C89" i="3" s="1"/>
  <c r="E89" i="3" s="1"/>
  <c r="E14" i="2"/>
  <c r="F14" i="2" s="1"/>
  <c r="H14" i="2" s="1"/>
  <c r="E13" i="2"/>
  <c r="F13" i="2" s="1"/>
  <c r="H13" i="2" s="1"/>
  <c r="E12" i="2"/>
  <c r="F12" i="2" s="1"/>
  <c r="H12" i="2" s="1"/>
  <c r="E11" i="2"/>
  <c r="F11" i="2" s="1"/>
  <c r="H11" i="2" s="1"/>
  <c r="C119" i="3" s="1"/>
  <c r="E119" i="3" s="1"/>
  <c r="E10" i="2"/>
  <c r="F10" i="2" s="1"/>
  <c r="H10" i="2" s="1"/>
  <c r="C103" i="3" s="1"/>
  <c r="E9" i="2"/>
  <c r="F9" i="2" s="1"/>
  <c r="H9" i="2" s="1"/>
  <c r="C88" i="3" s="1"/>
  <c r="E88" i="3" s="1"/>
  <c r="E8" i="2"/>
  <c r="F8" i="2" s="1"/>
  <c r="H8" i="2" s="1"/>
  <c r="C55" i="3" s="1"/>
  <c r="E55" i="3" s="1"/>
  <c r="E58" i="3" s="1"/>
  <c r="E66" i="3" s="1"/>
  <c r="F7" i="2"/>
  <c r="H7" i="2" s="1"/>
  <c r="C7" i="3" s="1"/>
  <c r="E7" i="3" s="1"/>
  <c r="E7" i="2"/>
  <c r="E6" i="2"/>
  <c r="F6" i="2" s="1"/>
  <c r="H6" i="2" s="1"/>
  <c r="E90" i="3" l="1"/>
  <c r="E103" i="3"/>
  <c r="E49" i="3"/>
  <c r="C25" i="3"/>
  <c r="E25" i="3" s="1"/>
  <c r="C121" i="3"/>
  <c r="E121" i="3" s="1"/>
  <c r="E123" i="3" s="1"/>
  <c r="E131" i="3" s="1"/>
  <c r="E65" i="3"/>
  <c r="C23" i="3"/>
  <c r="E23" i="3" s="1"/>
  <c r="C71" i="3"/>
  <c r="E71" i="3" s="1"/>
  <c r="E74" i="3" s="1"/>
  <c r="E82" i="3" s="1"/>
  <c r="E106" i="3"/>
  <c r="E114" i="3" s="1"/>
  <c r="E10" i="3"/>
  <c r="E98" i="3" l="1"/>
  <c r="E97" i="3"/>
  <c r="E99" i="3" s="1"/>
  <c r="E26" i="3"/>
  <c r="E34" i="3" s="1"/>
  <c r="E17" i="3"/>
  <c r="E19" i="3" s="1"/>
  <c r="B20" i="4" s="1"/>
  <c r="E18" i="3"/>
  <c r="E33" i="3"/>
  <c r="E81" i="3"/>
  <c r="E83" i="3" s="1"/>
  <c r="E113" i="3"/>
  <c r="E67" i="3"/>
  <c r="E51" i="3"/>
  <c r="E130" i="3"/>
  <c r="E22" i="4" l="1"/>
  <c r="F22" i="4"/>
  <c r="B25" i="4"/>
  <c r="B26" i="4" s="1"/>
  <c r="B27" i="4" s="1"/>
  <c r="E115" i="3"/>
  <c r="E132" i="3"/>
  <c r="E35" i="3"/>
  <c r="E23" i="4" l="1"/>
  <c r="F23" i="4"/>
  <c r="B31" i="4"/>
  <c r="B34" i="4" s="1"/>
  <c r="E24" i="4" l="1"/>
  <c r="F24" i="4"/>
  <c r="B36" i="4"/>
  <c r="E25" i="4" l="1"/>
  <c r="F2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 Update 2026-06-09</author>
  </authors>
  <commentList>
    <comment ref="C18" authorId="0" shapeId="0" xr:uid="{00000000-0006-0000-0000-000001000000}">
      <text>
        <r>
          <rPr>
            <sz val="11"/>
            <color theme="1"/>
            <rFont val="Calibri"/>
            <family val="2"/>
            <charset val="1"/>
          </rPr>
          <t>⚠️ 估算数据，非真实货代报价
来源：AI 训练数据中对一般 LCL 进口目的港费的认知
实际可能浮动 30-50%
📋 务必用询价模板询货代真实价格后再使用
模板位置：二次工作文件/co-work/货代询价模板_2026-06-09.md</t>
        </r>
      </text>
    </comment>
    <comment ref="E18" authorId="0" shapeId="0" xr:uid="{00000000-0006-0000-0000-000002000000}">
      <text>
        <r>
          <rPr>
            <sz val="11"/>
            <color theme="1"/>
            <rFont val="Calibri"/>
            <family val="2"/>
            <charset val="1"/>
          </rPr>
          <t>⚠️ 估算数据，非真实货代报价
来源：AI 训练数据中对一般 LCL 进口目的港费的认知
实际可能浮动 30-50%
📋 务必用询价模板询货代真实价格后再使用
模板位置：二次工作文件/co-work/货代询价模板_2026-06-09.md</t>
        </r>
      </text>
    </comment>
    <comment ref="C19" authorId="0" shapeId="0" xr:uid="{00000000-0006-0000-0000-000003000000}">
      <text>
        <r>
          <rPr>
            <sz val="11"/>
            <color theme="1"/>
            <rFont val="Calibri"/>
            <family val="2"/>
            <charset val="1"/>
          </rPr>
          <t>⚠️ 估算数据，非真实货代报价
来源：AI 训练数据中对一般 LCL 进口目的港费的认知
实际可能浮动 30-50%
📋 务必用询价模板询货代真实价格后再使用
模板位置：二次工作文件/co-work/货代询价模板_2026-06-09.md</t>
        </r>
      </text>
    </comment>
    <comment ref="E19" authorId="0" shapeId="0" xr:uid="{00000000-0006-0000-0000-000004000000}">
      <text>
        <r>
          <rPr>
            <sz val="11"/>
            <color theme="1"/>
            <rFont val="Calibri"/>
            <family val="2"/>
            <charset val="1"/>
          </rPr>
          <t>⚠️ 估算数据，非真实货代报价
来源：AI 训练数据中对一般 LCL 进口目的港费的认知
实际可能浮动 30-50%
📋 务必用询价模板询货代真实价格后再使用
模板位置：二次工作文件/co-work/货代询价模板_2026-06-09.md</t>
        </r>
      </text>
    </comment>
    <comment ref="C20" authorId="0" shapeId="0" xr:uid="{00000000-0006-0000-0000-000005000000}">
      <text>
        <r>
          <rPr>
            <sz val="11"/>
            <color theme="1"/>
            <rFont val="Calibri"/>
            <family val="2"/>
            <charset val="1"/>
          </rPr>
          <t>⚠️ 估算数据，非真实货代报价
来源：AI 训练数据中对一般 LCL 进口目的港费的认知
实际可能浮动 30-50%
📋 务必用询价模板询货代真实价格后再使用
模板位置：二次工作文件/co-work/货代询价模板_2026-06-09.md</t>
        </r>
      </text>
    </comment>
    <comment ref="E20" authorId="0" shapeId="0" xr:uid="{00000000-0006-0000-0000-000006000000}">
      <text>
        <r>
          <rPr>
            <sz val="11"/>
            <color theme="1"/>
            <rFont val="Calibri"/>
            <family val="2"/>
            <charset val="1"/>
          </rPr>
          <t>⚠️ 估算数据，非真实货代报价
来源：AI 训练数据中对一般 LCL 进口目的港费的认知
实际可能浮动 30-50%
📋 务必用询价模板询货代真实价格后再使用
模板位置：二次工作文件/co-work/货代询价模板_2026-06-09.md</t>
        </r>
      </text>
    </comment>
    <comment ref="C21" authorId="0" shapeId="0" xr:uid="{00000000-0006-0000-0000-000007000000}">
      <text>
        <r>
          <rPr>
            <sz val="11"/>
            <color theme="1"/>
            <rFont val="Calibri"/>
            <family val="2"/>
            <charset val="1"/>
          </rPr>
          <t>⚠️ 估算数据，非真实货代报价
来源：AI 训练数据中对一般 LCL 进口目的港费的认知
实际可能浮动 30-50%
📋 务必用询价模板询货代真实价格后再使用
模板位置：二次工作文件/co-work/货代询价模板_2026-06-09.md</t>
        </r>
      </text>
    </comment>
    <comment ref="E21" authorId="0" shapeId="0" xr:uid="{00000000-0006-0000-0000-000008000000}">
      <text>
        <r>
          <rPr>
            <sz val="11"/>
            <color theme="1"/>
            <rFont val="Calibri"/>
            <family val="2"/>
            <charset val="1"/>
          </rPr>
          <t>⚠️ 估算数据，非真实货代报价
来源：AI 训练数据中对一般 LCL 进口目的港费的认知
实际可能浮动 30-50%
📋 务必用询价模板询货代真实价格后再使用
模板位置：二次工作文件/co-work/货代询价模板_2026-06-09.md</t>
        </r>
      </text>
    </comment>
    <comment ref="C22" authorId="0" shapeId="0" xr:uid="{00000000-0006-0000-0000-000009000000}">
      <text>
        <r>
          <rPr>
            <sz val="11"/>
            <color theme="1"/>
            <rFont val="Calibri"/>
            <family val="2"/>
            <charset val="1"/>
          </rPr>
          <t>⚠️ 估算数据，非真实货代报价
来源：AI 训练数据中对一般 LCL 进口目的港费的认知
实际可能浮动 30-50%
📋 务必用询价模板询货代真实价格后再使用
模板位置：二次工作文件/co-work/货代询价模板_2026-06-09.md</t>
        </r>
      </text>
    </comment>
    <comment ref="E22" authorId="0" shapeId="0" xr:uid="{00000000-0006-0000-0000-00000A000000}">
      <text>
        <r>
          <rPr>
            <sz val="11"/>
            <color theme="1"/>
            <rFont val="Calibri"/>
            <family val="2"/>
            <charset val="1"/>
          </rPr>
          <t>⚠️ 估算数据，非真实货代报价
来源：AI 训练数据中对一般 LCL 进口目的港费的认知
实际可能浮动 30-50%
📋 务必用询价模板询货代真实价格后再使用
模板位置：二次工作文件/co-work/货代询价模板_2026-06-09.md</t>
        </r>
      </text>
    </comment>
    <comment ref="C23" authorId="0" shapeId="0" xr:uid="{00000000-0006-0000-0000-00000B000000}">
      <text>
        <r>
          <rPr>
            <sz val="11"/>
            <color theme="1"/>
            <rFont val="Calibri"/>
            <family val="2"/>
            <charset val="1"/>
          </rPr>
          <t>⚠️ 估算数据，非真实货代报价
来源：AI 训练数据中对一般 LCL 进口目的港费的认知
实际可能浮动 30-50%
📋 务必用询价模板询货代真实价格后再使用
模板位置：二次工作文件/co-work/货代询价模板_2026-06-09.md</t>
        </r>
      </text>
    </comment>
    <comment ref="E23" authorId="0" shapeId="0" xr:uid="{00000000-0006-0000-0000-00000C000000}">
      <text>
        <r>
          <rPr>
            <sz val="11"/>
            <color theme="1"/>
            <rFont val="Calibri"/>
            <family val="2"/>
            <charset val="1"/>
          </rPr>
          <t>⚠️ 估算数据，非真实货代报价
来源：AI 训练数据中对一般 LCL 进口目的港费的认知
实际可能浮动 30-50%
📋 务必用询价模板询货代真实价格后再使用
模板位置：二次工作文件/co-work/货代询价模板_2026-06-09.md</t>
        </r>
      </text>
    </comment>
    <comment ref="F23" authorId="0" shapeId="0" xr:uid="{00000000-0006-0000-0000-00000D000000}">
      <text>
        <r>
          <rPr>
            <sz val="11"/>
            <color theme="1"/>
            <rFont val="Calibri"/>
            <family val="2"/>
            <charset val="1"/>
          </rPr>
          <t>2024-01-01 起 Swiss VAT 由 7.7% 上调至 8.1%。
来源：Swiss Federal Tax Administration (ESTV)</t>
        </r>
      </text>
    </comment>
    <comment ref="C24" authorId="0" shapeId="0" xr:uid="{00000000-0006-0000-0000-00000E000000}">
      <text>
        <r>
          <rPr>
            <sz val="11"/>
            <color theme="1"/>
            <rFont val="Calibri"/>
            <family val="2"/>
            <charset val="1"/>
          </rPr>
          <t>⚠️ 估算数据，非真实货代报价
来源：AI 训练数据中对一般 LCL 进口目的港费的认知
实际可能浮动 30-50%
📋 务必用询价模板询货代真实价格后再使用
模板位置：二次工作文件/co-work/货代询价模板_2026-06-09.md</t>
        </r>
      </text>
    </comment>
    <comment ref="E24" authorId="0" shapeId="0" xr:uid="{00000000-0006-0000-0000-00000F000000}">
      <text>
        <r>
          <rPr>
            <sz val="11"/>
            <color theme="1"/>
            <rFont val="Calibri"/>
            <family val="2"/>
            <charset val="1"/>
          </rPr>
          <t>⚠️ 估算数据，非真实货代报价
来源：AI 训练数据中对一般 LCL 进口目的港费的认知
实际可能浮动 30-50%
📋 务必用询价模板询货代真实价格后再使用
模板位置：二次工作文件/co-work/货代询价模板_2026-06-09.md</t>
        </r>
      </text>
    </comment>
    <comment ref="C25" authorId="0" shapeId="0" xr:uid="{00000000-0006-0000-0000-000010000000}">
      <text>
        <r>
          <rPr>
            <sz val="11"/>
            <color theme="1"/>
            <rFont val="Calibri"/>
            <family val="2"/>
            <charset val="1"/>
          </rPr>
          <t>⚠️ 估算数据，非真实货代报价
来源：AI 训练数据中对一般 LCL 进口目的港费的认知
实际可能浮动 30-50%
📋 务必用询价模板询货代真实价格后再使用
模板位置：二次工作文件/co-work/货代询价模板_2026-06-09.md</t>
        </r>
      </text>
    </comment>
    <comment ref="E25" authorId="0" shapeId="0" xr:uid="{00000000-0006-0000-0000-000011000000}">
      <text>
        <r>
          <rPr>
            <sz val="11"/>
            <color theme="1"/>
            <rFont val="Calibri"/>
            <family val="2"/>
            <charset val="1"/>
          </rPr>
          <t>⚠️ 估算数据，非真实货代报价
来源：AI 训练数据中对一般 LCL 进口目的港费的认知
实际可能浮动 30-50%
📋 务必用询价模板询货代真实价格后再使用
模板位置：二次工作文件/co-work/货代询价模板_2026-06-09.md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 2026-06-09</author>
  </authors>
  <commentList>
    <comment ref="E12" authorId="0" shapeId="0" xr:uid="{00000000-0006-0000-0200-000001000000}">
      <text>
        <r>
          <rPr>
            <sz val="11"/>
            <color theme="1"/>
            <rFont val="Calibri"/>
            <family val="2"/>
            <charset val="1"/>
          </rPr>
          <t>🆕 2026-06-09 新增成本项
默认 0（不影响 FOB）。
后期根据询价填入真实数据，FOB 自动重算。
SOHO 加价已自动包含这 4 项（Method C 把它们视为产品成本）
典型范围 MOQ 100: USD 0.10 - 0.30 / 套
注：1688 含税通常已含到你地址的运费，这里指打包仓→上海港</t>
        </r>
      </text>
    </comment>
    <comment ref="E13" authorId="0" shapeId="0" xr:uid="{00000000-0006-0000-0200-000002000000}">
      <text>
        <r>
          <rPr>
            <sz val="11"/>
            <color theme="1"/>
            <rFont val="Calibri"/>
            <family val="2"/>
            <charset val="1"/>
          </rPr>
          <t>🆕 2026-06-09 新增成本项
默认 0（不影响 FOB）。
后期根据询价填入真实数据，FOB 自动重算。
SOHO 加价已自动包含这 4 项（Method C 把它们视为产品成本）
典型范围：
  3 件套: USD 0.15 - 0.25 / 套
  4 件套: USD 0.25 - 0.45 / 套
注：礼盒供应商有时已含 assembly</t>
        </r>
      </text>
    </comment>
    <comment ref="E14" authorId="0" shapeId="0" xr:uid="{00000000-0006-0000-0200-000003000000}">
      <text>
        <r>
          <rPr>
            <sz val="11"/>
            <color theme="1"/>
            <rFont val="Calibri"/>
            <family val="2"/>
            <charset val="1"/>
          </rPr>
          <t>🆕 2026-06-09 新增成本项
默认 0（不影响 FOB）。
后期根据询价填入真实数据，FOB 自动重算。
SOHO 加价已自动包含这 4 项（Method C 把它们视为产品成本）
典型范围 MOQ 100: USD 0.05 - 0.15 / 套
注：20-25 套装一个 master carton</t>
        </r>
      </text>
    </comment>
    <comment ref="E15" authorId="0" shapeId="0" xr:uid="{00000000-0006-0000-0200-000004000000}">
      <text>
        <r>
          <rPr>
            <sz val="11"/>
            <color theme="1"/>
            <rFont val="Calibri"/>
            <family val="2"/>
            <charset val="1"/>
          </rPr>
          <t>🆕 2026-06-09 新增成本项
默认 0（不影响 FOB）。
后期根据询价填入真实数据，FOB 自动重算。
SOHO 加价已自动包含这 4 项（Method C 把它们视为产品成本）
典型范围（如客户要求）: USD 0.10 - 0.30 / 套
注：客户不要可填 0</t>
        </r>
      </text>
    </comment>
    <comment ref="E16" authorId="0" shapeId="0" xr:uid="{00000000-0006-0000-0200-000005000000}">
      <text>
        <r>
          <rPr>
            <sz val="11"/>
            <color theme="1"/>
            <rFont val="Calibri"/>
            <family val="2"/>
            <charset val="1"/>
          </rPr>
          <t>Pass-through（直接通过，不加 SOHO markup）
组成：
  CCPIT 证书 200 RMB / 100 套 = $0.30
  QC 验货 USD 80 / 100 套 = $0.80
  报关杂费 USD 20 / 100 套 = $0.20</t>
        </r>
      </text>
    </comment>
    <comment ref="E28" authorId="0" shapeId="0" xr:uid="{00000000-0006-0000-0200-000006000000}">
      <text>
        <r>
          <rPr>
            <sz val="11"/>
            <color theme="1"/>
            <rFont val="Calibri"/>
            <family val="2"/>
            <charset val="1"/>
          </rPr>
          <t>🆕 2026-06-09 新增成本项
默认 0（不影响 FOB）。
后期根据询价填入真实数据，FOB 自动重算。
SOHO 加价已自动包含这 4 项（Method C 把它们视为产品成本）
典型范围 MOQ 100: USD 0.10 - 0.30 / 套
注：1688 含税通常已含到你地址的运费，这里指打包仓→上海港</t>
        </r>
      </text>
    </comment>
    <comment ref="E29" authorId="0" shapeId="0" xr:uid="{00000000-0006-0000-0200-000007000000}">
      <text>
        <r>
          <rPr>
            <sz val="11"/>
            <color theme="1"/>
            <rFont val="Calibri"/>
            <family val="2"/>
            <charset val="1"/>
          </rPr>
          <t>🆕 2026-06-09 新增成本项
默认 0（不影响 FOB）。
后期根据询价填入真实数据，FOB 自动重算。
SOHO 加价已自动包含这 4 项（Method C 把它们视为产品成本）
典型范围：
  3 件套: USD 0.15 - 0.25 / 套
  4 件套: USD 0.25 - 0.45 / 套
注：礼盒供应商有时已含 assembly</t>
        </r>
      </text>
    </comment>
    <comment ref="E30" authorId="0" shapeId="0" xr:uid="{00000000-0006-0000-0200-000008000000}">
      <text>
        <r>
          <rPr>
            <sz val="11"/>
            <color theme="1"/>
            <rFont val="Calibri"/>
            <family val="2"/>
            <charset val="1"/>
          </rPr>
          <t>🆕 2026-06-09 新增成本项
默认 0（不影响 FOB）。
后期根据询价填入真实数据，FOB 自动重算。
SOHO 加价已自动包含这 4 项（Method C 把它们视为产品成本）
典型范围 MOQ 100: USD 0.05 - 0.15 / 套
注：20-25 套装一个 master carton</t>
        </r>
      </text>
    </comment>
    <comment ref="E31" authorId="0" shapeId="0" xr:uid="{00000000-0006-0000-0200-000009000000}">
      <text>
        <r>
          <rPr>
            <sz val="11"/>
            <color theme="1"/>
            <rFont val="Calibri"/>
            <family val="2"/>
            <charset val="1"/>
          </rPr>
          <t>🆕 2026-06-09 新增成本项
默认 0（不影响 FOB）。
后期根据询价填入真实数据，FOB 自动重算。
SOHO 加价已自动包含这 4 项（Method C 把它们视为产品成本）
典型范围（如客户要求）: USD 0.10 - 0.30 / 套
注：客户不要可填 0</t>
        </r>
      </text>
    </comment>
    <comment ref="E32" authorId="0" shapeId="0" xr:uid="{00000000-0006-0000-0200-00000A000000}">
      <text>
        <r>
          <rPr>
            <sz val="11"/>
            <color theme="1"/>
            <rFont val="Calibri"/>
            <family val="2"/>
            <charset val="1"/>
          </rPr>
          <t>Pass-through（直接通过，不加 SOHO markup）
组成：
  CCPIT 证书 200 RMB / 100 套 = $0.30
  QC 验货 USD 80 / 100 套 = $0.80
  报关杂费 USD 20 / 100 套 = $0.20</t>
        </r>
      </text>
    </comment>
    <comment ref="E44" authorId="0" shapeId="0" xr:uid="{00000000-0006-0000-0200-00000B000000}">
      <text>
        <r>
          <rPr>
            <sz val="11"/>
            <color theme="1"/>
            <rFont val="Calibri"/>
            <family val="2"/>
            <charset val="1"/>
          </rPr>
          <t>🆕 2026-06-09 新增成本项
默认 0（不影响 FOB）。
后期根据询价填入真实数据，FOB 自动重算。
SOHO 加价已自动包含这 4 项（Method C 把它们视为产品成本）
典型范围 MOQ 100: USD 0.10 - 0.30 / 套
注：1688 含税通常已含到你地址的运费，这里指打包仓→上海港</t>
        </r>
      </text>
    </comment>
    <comment ref="E45" authorId="0" shapeId="0" xr:uid="{00000000-0006-0000-0200-00000C000000}">
      <text>
        <r>
          <rPr>
            <sz val="11"/>
            <color theme="1"/>
            <rFont val="Calibri"/>
            <family val="2"/>
            <charset val="1"/>
          </rPr>
          <t>🆕 2026-06-09 新增成本项
默认 0（不影响 FOB）。
后期根据询价填入真实数据，FOB 自动重算。
SOHO 加价已自动包含这 4 项（Method C 把它们视为产品成本）
典型范围：
  3 件套: USD 0.15 - 0.25 / 套
  4 件套: USD 0.25 - 0.45 / 套
注：礼盒供应商有时已含 assembly</t>
        </r>
      </text>
    </comment>
    <comment ref="E46" authorId="0" shapeId="0" xr:uid="{00000000-0006-0000-0200-00000D000000}">
      <text>
        <r>
          <rPr>
            <sz val="11"/>
            <color theme="1"/>
            <rFont val="Calibri"/>
            <family val="2"/>
            <charset val="1"/>
          </rPr>
          <t>🆕 2026-06-09 新增成本项
默认 0（不影响 FOB）。
后期根据询价填入真实数据，FOB 自动重算。
SOHO 加价已自动包含这 4 项（Method C 把它们视为产品成本）
典型范围 MOQ 100: USD 0.05 - 0.15 / 套
注：20-25 套装一个 master carton</t>
        </r>
      </text>
    </comment>
    <comment ref="E47" authorId="0" shapeId="0" xr:uid="{00000000-0006-0000-0200-00000E000000}">
      <text>
        <r>
          <rPr>
            <sz val="11"/>
            <color theme="1"/>
            <rFont val="Calibri"/>
            <family val="2"/>
            <charset val="1"/>
          </rPr>
          <t>🆕 2026-06-09 新增成本项
默认 0（不影响 FOB）。
后期根据询价填入真实数据，FOB 自动重算。
SOHO 加价已自动包含这 4 项（Method C 把它们视为产品成本）
典型范围（如客户要求）: USD 0.10 - 0.30 / 套
注：客户不要可填 0</t>
        </r>
      </text>
    </comment>
    <comment ref="E48" authorId="0" shapeId="0" xr:uid="{00000000-0006-0000-0200-00000F000000}">
      <text>
        <r>
          <rPr>
            <sz val="11"/>
            <color theme="1"/>
            <rFont val="Calibri"/>
            <family val="2"/>
            <charset val="1"/>
          </rPr>
          <t>Pass-through（直接通过，不加 SOHO markup）
组成：
  CCPIT 证书 200 RMB / 100 套 = $0.30
  QC 验货 USD 80 / 100 套 = $0.80
  报关杂费 USD 20 / 100 套 = $0.20</t>
        </r>
      </text>
    </comment>
    <comment ref="E60" authorId="0" shapeId="0" xr:uid="{00000000-0006-0000-0200-000010000000}">
      <text>
        <r>
          <rPr>
            <sz val="11"/>
            <color theme="1"/>
            <rFont val="Calibri"/>
            <family val="2"/>
            <charset val="1"/>
          </rPr>
          <t>🆕 2026-06-09 新增成本项
默认 0（不影响 FOB）。
后期根据询价填入真实数据，FOB 自动重算。
SOHO 加价已自动包含这 4 项（Method C 把它们视为产品成本）
典型范围 MOQ 100: USD 0.10 - 0.30 / 套
注：1688 含税通常已含到你地址的运费，这里指打包仓→上海港</t>
        </r>
      </text>
    </comment>
    <comment ref="E61" authorId="0" shapeId="0" xr:uid="{00000000-0006-0000-0200-000011000000}">
      <text>
        <r>
          <rPr>
            <sz val="11"/>
            <color theme="1"/>
            <rFont val="Calibri"/>
            <family val="2"/>
            <charset val="1"/>
          </rPr>
          <t>🆕 2026-06-09 新增成本项
默认 0（不影响 FOB）。
后期根据询价填入真实数据，FOB 自动重算。
SOHO 加价已自动包含这 4 项（Method C 把它们视为产品成本）
典型范围：
  3 件套: USD 0.15 - 0.25 / 套
  4 件套: USD 0.25 - 0.45 / 套
注：礼盒供应商有时已含 assembly</t>
        </r>
      </text>
    </comment>
    <comment ref="E62" authorId="0" shapeId="0" xr:uid="{00000000-0006-0000-0200-000012000000}">
      <text>
        <r>
          <rPr>
            <sz val="11"/>
            <color theme="1"/>
            <rFont val="Calibri"/>
            <family val="2"/>
            <charset val="1"/>
          </rPr>
          <t>🆕 2026-06-09 新增成本项
默认 0（不影响 FOB）。
后期根据询价填入真实数据，FOB 自动重算。
SOHO 加价已自动包含这 4 项（Method C 把它们视为产品成本）
典型范围 MOQ 100: USD 0.05 - 0.15 / 套
注：20-25 套装一个 master carton</t>
        </r>
      </text>
    </comment>
    <comment ref="E63" authorId="0" shapeId="0" xr:uid="{00000000-0006-0000-0200-000013000000}">
      <text>
        <r>
          <rPr>
            <sz val="11"/>
            <color theme="1"/>
            <rFont val="Calibri"/>
            <family val="2"/>
            <charset val="1"/>
          </rPr>
          <t>🆕 2026-06-09 新增成本项
默认 0（不影响 FOB）。
后期根据询价填入真实数据，FOB 自动重算。
SOHO 加价已自动包含这 4 项（Method C 把它们视为产品成本）
典型范围（如客户要求）: USD 0.10 - 0.30 / 套
注：客户不要可填 0</t>
        </r>
      </text>
    </comment>
    <comment ref="E64" authorId="0" shapeId="0" xr:uid="{00000000-0006-0000-0200-000014000000}">
      <text>
        <r>
          <rPr>
            <sz val="11"/>
            <color theme="1"/>
            <rFont val="Calibri"/>
            <family val="2"/>
            <charset val="1"/>
          </rPr>
          <t>Pass-through（直接通过，不加 SOHO markup）
组成：
  CCPIT 证书 200 RMB / 100 套 = $0.30
  QC 验货 USD 80 / 100 套 = $0.80
  报关杂费 USD 20 / 100 套 = $0.20</t>
        </r>
      </text>
    </comment>
    <comment ref="E76" authorId="0" shapeId="0" xr:uid="{00000000-0006-0000-0200-000015000000}">
      <text>
        <r>
          <rPr>
            <sz val="11"/>
            <color theme="1"/>
            <rFont val="Calibri"/>
            <family val="2"/>
            <charset val="1"/>
          </rPr>
          <t>🆕 2026-06-09 新增成本项
默认 0（不影响 FOB）。
后期根据询价填入真实数据，FOB 自动重算。
SOHO 加价已自动包含这 4 项（Method C 把它们视为产品成本）
典型范围 MOQ 100: USD 0.10 - 0.30 / 套
注：1688 含税通常已含到你地址的运费，这里指打包仓→上海港</t>
        </r>
      </text>
    </comment>
    <comment ref="E77" authorId="0" shapeId="0" xr:uid="{00000000-0006-0000-0200-000016000000}">
      <text>
        <r>
          <rPr>
            <sz val="11"/>
            <color theme="1"/>
            <rFont val="Calibri"/>
            <family val="2"/>
            <charset val="1"/>
          </rPr>
          <t>🆕 2026-06-09 新增成本项
默认 0（不影响 FOB）。
后期根据询价填入真实数据，FOB 自动重算。
SOHO 加价已自动包含这 4 项（Method C 把它们视为产品成本）
典型范围：
  3 件套: USD 0.15 - 0.25 / 套
  4 件套: USD 0.25 - 0.45 / 套
注：礼盒供应商有时已含 assembly</t>
        </r>
      </text>
    </comment>
    <comment ref="E78" authorId="0" shapeId="0" xr:uid="{00000000-0006-0000-0200-000017000000}">
      <text>
        <r>
          <rPr>
            <sz val="11"/>
            <color theme="1"/>
            <rFont val="Calibri"/>
            <family val="2"/>
            <charset val="1"/>
          </rPr>
          <t>🆕 2026-06-09 新增成本项
默认 0（不影响 FOB）。
后期根据询价填入真实数据，FOB 自动重算。
SOHO 加价已自动包含这 4 项（Method C 把它们视为产品成本）
典型范围 MOQ 100: USD 0.05 - 0.15 / 套
注：20-25 套装一个 master carton</t>
        </r>
      </text>
    </comment>
    <comment ref="E79" authorId="0" shapeId="0" xr:uid="{00000000-0006-0000-0200-000018000000}">
      <text>
        <r>
          <rPr>
            <sz val="11"/>
            <color theme="1"/>
            <rFont val="Calibri"/>
            <family val="2"/>
            <charset val="1"/>
          </rPr>
          <t>🆕 2026-06-09 新增成本项
默认 0（不影响 FOB）。
后期根据询价填入真实数据，FOB 自动重算。
SOHO 加价已自动包含这 4 项（Method C 把它们视为产品成本）
典型范围（如客户要求）: USD 0.10 - 0.30 / 套
注：客户不要可填 0</t>
        </r>
      </text>
    </comment>
    <comment ref="E80" authorId="0" shapeId="0" xr:uid="{00000000-0006-0000-0200-000019000000}">
      <text>
        <r>
          <rPr>
            <sz val="11"/>
            <color theme="1"/>
            <rFont val="Calibri"/>
            <family val="2"/>
            <charset val="1"/>
          </rPr>
          <t>Pass-through（直接通过，不加 SOHO markup）
组成：
  CCPIT 证书 200 RMB / 100 套 = $0.30
  QC 验货 USD 80 / 100 套 = $0.80
  报关杂费 USD 20 / 100 套 = $0.20</t>
        </r>
      </text>
    </comment>
    <comment ref="E92" authorId="0" shapeId="0" xr:uid="{00000000-0006-0000-0200-00001A000000}">
      <text>
        <r>
          <rPr>
            <sz val="11"/>
            <color theme="1"/>
            <rFont val="Calibri"/>
            <family val="2"/>
            <charset val="1"/>
          </rPr>
          <t>🆕 2026-06-09 新增成本项
默认 0（不影响 FOB）。
后期根据询价填入真实数据，FOB 自动重算。
SOHO 加价已自动包含这 4 项（Method C 把它们视为产品成本）
典型范围 MOQ 100: USD 0.10 - 0.30 / 套
注：1688 含税通常已含到你地址的运费，这里指打包仓→上海港</t>
        </r>
      </text>
    </comment>
    <comment ref="E93" authorId="0" shapeId="0" xr:uid="{00000000-0006-0000-0200-00001B000000}">
      <text>
        <r>
          <rPr>
            <sz val="11"/>
            <color theme="1"/>
            <rFont val="Calibri"/>
            <family val="2"/>
            <charset val="1"/>
          </rPr>
          <t>🆕 2026-06-09 新增成本项
默认 0（不影响 FOB）。
后期根据询价填入真实数据，FOB 自动重算。
SOHO 加价已自动包含这 4 项（Method C 把它们视为产品成本）
典型范围：
  3 件套: USD 0.15 - 0.25 / 套
  4 件套: USD 0.25 - 0.45 / 套
注：礼盒供应商有时已含 assembly</t>
        </r>
      </text>
    </comment>
    <comment ref="E94" authorId="0" shapeId="0" xr:uid="{00000000-0006-0000-0200-00001C000000}">
      <text>
        <r>
          <rPr>
            <sz val="11"/>
            <color theme="1"/>
            <rFont val="Calibri"/>
            <family val="2"/>
            <charset val="1"/>
          </rPr>
          <t>🆕 2026-06-09 新增成本项
默认 0（不影响 FOB）。
后期根据询价填入真实数据，FOB 自动重算。
SOHO 加价已自动包含这 4 项（Method C 把它们视为产品成本）
典型范围 MOQ 100: USD 0.05 - 0.15 / 套
注：20-25 套装一个 master carton</t>
        </r>
      </text>
    </comment>
    <comment ref="E95" authorId="0" shapeId="0" xr:uid="{00000000-0006-0000-0200-00001D000000}">
      <text>
        <r>
          <rPr>
            <sz val="11"/>
            <color theme="1"/>
            <rFont val="Calibri"/>
            <family val="2"/>
            <charset val="1"/>
          </rPr>
          <t>🆕 2026-06-09 新增成本项
默认 0（不影响 FOB）。
后期根据询价填入真实数据，FOB 自动重算。
SOHO 加价已自动包含这 4 项（Method C 把它们视为产品成本）
典型范围（如客户要求）: USD 0.10 - 0.30 / 套
注：客户不要可填 0</t>
        </r>
      </text>
    </comment>
    <comment ref="E96" authorId="0" shapeId="0" xr:uid="{00000000-0006-0000-0200-00001E000000}">
      <text>
        <r>
          <rPr>
            <sz val="11"/>
            <color theme="1"/>
            <rFont val="Calibri"/>
            <family val="2"/>
            <charset val="1"/>
          </rPr>
          <t>Pass-through（直接通过，不加 SOHO markup）
组成：
  CCPIT 证书 200 RMB / 100 套 = $0.30
  QC 验货 USD 80 / 100 套 = $0.80
  报关杂费 USD 20 / 100 套 = $0.20</t>
        </r>
      </text>
    </comment>
    <comment ref="E108" authorId="0" shapeId="0" xr:uid="{00000000-0006-0000-0200-00001F000000}">
      <text>
        <r>
          <rPr>
            <sz val="11"/>
            <color theme="1"/>
            <rFont val="Calibri"/>
            <family val="2"/>
            <charset val="1"/>
          </rPr>
          <t>🆕 2026-06-09 新增成本项
默认 0（不影响 FOB）。
后期根据询价填入真实数据，FOB 自动重算。
SOHO 加价已自动包含这 4 项（Method C 把它们视为产品成本）
典型范围 MOQ 100: USD 0.10 - 0.30 / 套
注：1688 含税通常已含到你地址的运费，这里指打包仓→上海港</t>
        </r>
      </text>
    </comment>
    <comment ref="E109" authorId="0" shapeId="0" xr:uid="{00000000-0006-0000-0200-000020000000}">
      <text>
        <r>
          <rPr>
            <sz val="11"/>
            <color theme="1"/>
            <rFont val="Calibri"/>
            <family val="2"/>
            <charset val="1"/>
          </rPr>
          <t>🆕 2026-06-09 新增成本项
默认 0（不影响 FOB）。
后期根据询价填入真实数据，FOB 自动重算。
SOHO 加价已自动包含这 4 项（Method C 把它们视为产品成本）
典型范围：
  3 件套: USD 0.15 - 0.25 / 套
  4 件套: USD 0.25 - 0.45 / 套
注：礼盒供应商有时已含 assembly</t>
        </r>
      </text>
    </comment>
    <comment ref="E110" authorId="0" shapeId="0" xr:uid="{00000000-0006-0000-0200-000021000000}">
      <text>
        <r>
          <rPr>
            <sz val="11"/>
            <color theme="1"/>
            <rFont val="Calibri"/>
            <family val="2"/>
            <charset val="1"/>
          </rPr>
          <t>🆕 2026-06-09 新增成本项
默认 0（不影响 FOB）。
后期根据询价填入真实数据，FOB 自动重算。
SOHO 加价已自动包含这 4 项（Method C 把它们视为产品成本）
典型范围 MOQ 100: USD 0.05 - 0.15 / 套
注：20-25 套装一个 master carton</t>
        </r>
      </text>
    </comment>
    <comment ref="E111" authorId="0" shapeId="0" xr:uid="{00000000-0006-0000-0200-000022000000}">
      <text>
        <r>
          <rPr>
            <sz val="11"/>
            <color theme="1"/>
            <rFont val="Calibri"/>
            <family val="2"/>
            <charset val="1"/>
          </rPr>
          <t>🆕 2026-06-09 新增成本项
默认 0（不影响 FOB）。
后期根据询价填入真实数据，FOB 自动重算。
SOHO 加价已自动包含这 4 项（Method C 把它们视为产品成本）
典型范围（如客户要求）: USD 0.10 - 0.30 / 套
注：客户不要可填 0</t>
        </r>
      </text>
    </comment>
    <comment ref="E112" authorId="0" shapeId="0" xr:uid="{00000000-0006-0000-0200-000023000000}">
      <text>
        <r>
          <rPr>
            <sz val="11"/>
            <color theme="1"/>
            <rFont val="Calibri"/>
            <family val="2"/>
            <charset val="1"/>
          </rPr>
          <t>Pass-through（直接通过，不加 SOHO markup）
组成：
  CCPIT 证书 200 RMB / 100 套 = $0.30
  QC 验货 USD 80 / 100 套 = $0.80
  报关杂费 USD 20 / 100 套 = $0.20</t>
        </r>
      </text>
    </comment>
    <comment ref="E125" authorId="0" shapeId="0" xr:uid="{00000000-0006-0000-0200-000024000000}">
      <text>
        <r>
          <rPr>
            <sz val="11"/>
            <color theme="1"/>
            <rFont val="Calibri"/>
            <family val="2"/>
            <charset val="1"/>
          </rPr>
          <t>🆕 2026-06-09 新增成本项
默认 0（不影响 FOB）。
后期根据询价填入真实数据，FOB 自动重算。
SOHO 加价已自动包含这 4 项（Method C 把它们视为产品成本）
典型范围 MOQ 100: USD 0.10 - 0.30 / 套
注：1688 含税通常已含到你地址的运费，这里指打包仓→上海港</t>
        </r>
      </text>
    </comment>
    <comment ref="E126" authorId="0" shapeId="0" xr:uid="{00000000-0006-0000-0200-000025000000}">
      <text>
        <r>
          <rPr>
            <sz val="11"/>
            <color theme="1"/>
            <rFont val="Calibri"/>
            <family val="2"/>
            <charset val="1"/>
          </rPr>
          <t>🆕 2026-06-09 新增成本项
默认 0（不影响 FOB）。
后期根据询价填入真实数据，FOB 自动重算。
SOHO 加价已自动包含这 4 项（Method C 把它们视为产品成本）
典型范围：
  3 件套: USD 0.15 - 0.25 / 套
  4 件套: USD 0.25 - 0.45 / 套
注：礼盒供应商有时已含 assembly</t>
        </r>
      </text>
    </comment>
    <comment ref="E127" authorId="0" shapeId="0" xr:uid="{00000000-0006-0000-0200-000026000000}">
      <text>
        <r>
          <rPr>
            <sz val="11"/>
            <color theme="1"/>
            <rFont val="Calibri"/>
            <family val="2"/>
            <charset val="1"/>
          </rPr>
          <t>🆕 2026-06-09 新增成本项
默认 0（不影响 FOB）。
后期根据询价填入真实数据，FOB 自动重算。
SOHO 加价已自动包含这 4 项（Method C 把它们视为产品成本）
典型范围 MOQ 100: USD 0.05 - 0.15 / 套
注：20-25 套装一个 master carton</t>
        </r>
      </text>
    </comment>
    <comment ref="E128" authorId="0" shapeId="0" xr:uid="{00000000-0006-0000-0200-000027000000}">
      <text>
        <r>
          <rPr>
            <sz val="11"/>
            <color theme="1"/>
            <rFont val="Calibri"/>
            <family val="2"/>
            <charset val="1"/>
          </rPr>
          <t>🆕 2026-06-09 新增成本项
默认 0（不影响 FOB）。
后期根据询价填入真实数据，FOB 自动重算。
SOHO 加价已自动包含这 4 项（Method C 把它们视为产品成本）
典型范围（如客户要求）: USD 0.10 - 0.30 / 套
注：客户不要可填 0</t>
        </r>
      </text>
    </comment>
    <comment ref="E129" authorId="0" shapeId="0" xr:uid="{00000000-0006-0000-0200-000028000000}">
      <text>
        <r>
          <rPr>
            <sz val="11"/>
            <color theme="1"/>
            <rFont val="Calibri"/>
            <family val="2"/>
            <charset val="1"/>
          </rPr>
          <t>Pass-through（直接通过，不加 SOHO markup）
组成：
  CCPIT 证书 200 RMB / 100 套 = $0.30
  QC 验货 USD 80 / 100 套 = $0.80
  报关杂费 USD 20 / 100 套 = $0.20</t>
        </r>
      </text>
    </comment>
  </commentList>
</comments>
</file>

<file path=xl/sharedStrings.xml><?xml version="1.0" encoding="utf-8"?>
<sst xmlns="http://schemas.openxmlformats.org/spreadsheetml/2006/main" count="508" uniqueCount="298">
  <si>
    <t>Wischos 报价计算器 — 全局配置</t>
  </si>
  <si>
    <t>说明：</t>
  </si>
  <si>
    <t>黄色背景蓝字 = 你需要填的输入；黑字 = 自动计算；不要直接编辑黑字单元格</t>
  </si>
  <si>
    <t>🌐 全局参数</t>
  </si>
  <si>
    <t>USD/RMB 汇率</t>
  </si>
  <si>
    <t>USD/RMB</t>
  </si>
  <si>
    <t>VAT 退税率</t>
  </si>
  <si>
    <t>百分比（出口退税）</t>
  </si>
  <si>
    <t>SOHO 加价 %</t>
  </si>
  <si>
    <t>在直接成本上加价（建议 25-35%）</t>
  </si>
  <si>
    <t>海运费率 USD/CBM</t>
  </si>
  <si>
    <t>Shanghai LCL → 主要港口</t>
  </si>
  <si>
    <t>LCL 最低费 USD</t>
  </si>
  <si>
    <t>通常 1 CBM 起算</t>
  </si>
  <si>
    <t>保险费率</t>
  </si>
  <si>
    <t>货值的 0.1%</t>
  </si>
  <si>
    <t>CCPIT FTA 证书 RMB</t>
  </si>
  <si>
    <t>每票分摊（按总数量分）</t>
  </si>
  <si>
    <t>Logo 制版费 USD</t>
  </si>
  <si>
    <t>每个 SKU 一次性，分摊到订单</t>
  </si>
  <si>
    <t>⚠️ 2026-06-09 提醒：港口费 (C列) 和 内陆派送 (E列) 是 AI 估算，浮动可能 30-50%。关税率 (D列) 和 GST/VAT (F列) 是查证过的官方数据。使用前请用询价模板向货代要真实报价。</t>
  </si>
  <si>
    <t>🌍 各国 DDP 参数</t>
  </si>
  <si>
    <t>国家代码</t>
  </si>
  <si>
    <t>国家名</t>
  </si>
  <si>
    <t>港口费 USD/票 ⚠️估算</t>
  </si>
  <si>
    <t>关税率（FTA）</t>
  </si>
  <si>
    <t>内陆派送 USD/票 ⚠️估算</t>
  </si>
  <si>
    <t>GST/VAT 率</t>
  </si>
  <si>
    <t>AU</t>
  </si>
  <si>
    <t>Australia (ChAFTA)</t>
  </si>
  <si>
    <t>NZ</t>
  </si>
  <si>
    <t>New Zealand (NZ-China FTA)</t>
  </si>
  <si>
    <t>SG</t>
  </si>
  <si>
    <t>Singapore (CSFTA)</t>
  </si>
  <si>
    <t>AE</t>
  </si>
  <si>
    <t>UAE (No FTA)</t>
  </si>
  <si>
    <t>HK</t>
  </si>
  <si>
    <t>Hong Kong (CEPA)</t>
  </si>
  <si>
    <t>CH</t>
  </si>
  <si>
    <t>Switzerland (CN-CH FTA)</t>
  </si>
  <si>
    <t>GB</t>
  </si>
  <si>
    <t>United Kingdom (No FTA)</t>
  </si>
  <si>
    <t>SA</t>
  </si>
  <si>
    <t>Saudi Arabia (No FTA)</t>
  </si>
  <si>
    <t>单品成本表 — 从 1688 含税价自动计算 USD</t>
  </si>
  <si>
    <t>C 列填 1688 含税单价（RMB）→ 后面列全自动算。F 列 logo 工艺加价可调（默认 0.30 USD）。</t>
  </si>
  <si>
    <t>SKU</t>
  </si>
  <si>
    <t>产品名</t>
  </si>
  <si>
    <t>不税单价(RMB)</t>
  </si>
  <si>
    <t>专票税点</t>
  </si>
  <si>
    <t>含税单价(RMB)</t>
  </si>
  <si>
    <t>USD 等价</t>
  </si>
  <si>
    <t>Logo 工艺加价(USD)</t>
  </si>
  <si>
    <t>单品总成本(USD)</t>
  </si>
  <si>
    <t>备注</t>
  </si>
  <si>
    <t>WP-101</t>
  </si>
  <si>
    <t>Brass Crown Bolt-Action Pen</t>
  </si>
  <si>
    <t>激光雕刻</t>
  </si>
  <si>
    <t>WP-102</t>
  </si>
  <si>
    <t>Executive Dual-Head Inkless Pen</t>
  </si>
  <si>
    <t>铝阳极氧化无墨笔</t>
  </si>
  <si>
    <t>WP-103</t>
  </si>
  <si>
    <t>Tactical Stainless Pen</t>
  </si>
  <si>
    <t>303 不锈钢战术</t>
  </si>
  <si>
    <t>WP-104</t>
  </si>
  <si>
    <t>6-in-1 Tool Pen</t>
  </si>
  <si>
    <t>锌合金多功能</t>
  </si>
  <si>
    <t>WP-105</t>
  </si>
  <si>
    <t>Artisan Brass Rollerball</t>
  </si>
  <si>
    <t>黄铜走珠笔</t>
  </si>
  <si>
    <t>WP-106</t>
  </si>
  <si>
    <t>Solid Brass Ballpoint Pen</t>
  </si>
  <si>
    <t>黄铜圆珠笔</t>
  </si>
  <si>
    <t>WP-107</t>
  </si>
  <si>
    <t>hexagonal brass click pen</t>
  </si>
  <si>
    <t>WP-108</t>
  </si>
  <si>
    <t>Solid Brass Bolt-Action Pen</t>
  </si>
  <si>
    <t>WP-201</t>
  </si>
  <si>
    <t>Aluminium Mouse Pad</t>
  </si>
  <si>
    <t>5052 铝合金</t>
  </si>
  <si>
    <t>WP-202</t>
  </si>
  <si>
    <t>Precision Aluminium Pen Holder</t>
  </si>
  <si>
    <t>6061-T6 铝</t>
  </si>
  <si>
    <t>WP-203</t>
  </si>
  <si>
    <t>Zinc Alloy Letter Opener</t>
  </si>
  <si>
    <t>电镀锌合金</t>
  </si>
  <si>
    <t>WP-204</t>
  </si>
  <si>
    <t>Propeller Spinning Letter Opener</t>
  </si>
  <si>
    <t>机械螺旋</t>
  </si>
  <si>
    <t>WP-205</t>
  </si>
  <si>
    <t>Custom Metal Bookmark</t>
  </si>
  <si>
    <t>含异形开模分摊</t>
  </si>
  <si>
    <t>WP-206</t>
  </si>
  <si>
    <t>Precision Brass Spinning Top</t>
  </si>
  <si>
    <t>黄铜陀螺</t>
  </si>
  <si>
    <t>WP-207</t>
  </si>
  <si>
    <t>Carbon Fiber Magnetic Fidget Stick</t>
  </si>
  <si>
    <t>碳纤维+磁铁（边缘 SKU）</t>
  </si>
  <si>
    <t>WP-208</t>
  </si>
  <si>
    <t>Folding Aluminium Device Stand</t>
  </si>
  <si>
    <t>6061-T6 折叠</t>
  </si>
  <si>
    <t>WP-301</t>
  </si>
  <si>
    <t>RFID Aluminium Badge Holder</t>
  </si>
  <si>
    <t>铝合金 RFID</t>
  </si>
  <si>
    <t>WP-302</t>
  </si>
  <si>
    <t>Industrial Brass Key Organizer</t>
  </si>
  <si>
    <t>黄铜钥匙器</t>
  </si>
  <si>
    <t>WP-303</t>
  </si>
  <si>
    <t>Stainless Steel Money Clip</t>
  </si>
  <si>
    <t>不锈钢钱夹</t>
  </si>
  <si>
    <t>WP-304</t>
  </si>
  <si>
    <t>Titanium EDC Comb</t>
  </si>
  <si>
    <t>钛梳</t>
  </si>
  <si>
    <t>WP-305</t>
  </si>
  <si>
    <t>Mini EDC Pry Bar</t>
  </si>
  <si>
    <t>不锈钢/钛撬棒</t>
  </si>
  <si>
    <t>WP-307</t>
  </si>
  <si>
    <t>EDC Folding Scissors</t>
  </si>
  <si>
    <t>2CR13 折叠剪</t>
  </si>
  <si>
    <t>WP-308</t>
  </si>
  <si>
    <t>Titanium EDC Keychain/Carabiner</t>
  </si>
  <si>
    <t>钛+黄铜锁芯</t>
  </si>
  <si>
    <t>WP-309</t>
  </si>
  <si>
    <t>Slim Push Business Card Case</t>
  </si>
  <si>
    <t>不锈钢推拉卡盒</t>
  </si>
  <si>
    <t>WP-401</t>
  </si>
  <si>
    <t>Pure Titanium Vacuum Bottle (large)</t>
  </si>
  <si>
    <t>纯钛真空瓶</t>
  </si>
  <si>
    <t>WP-402</t>
  </si>
  <si>
    <t>Pure Titanium Capsule Bottle 150ml</t>
  </si>
  <si>
    <t>纯钛胶囊瓶</t>
  </si>
  <si>
    <t>WP-403</t>
  </si>
  <si>
    <t>Weighted Vacuum Tumbler</t>
  </si>
  <si>
    <t>不锈钢加重 tumbler</t>
  </si>
  <si>
    <t>WP-404</t>
  </si>
  <si>
    <t>Bamboo-Pattern Stainless Mug</t>
  </si>
  <si>
    <t>不锈钢竹纹（纯钢）</t>
  </si>
  <si>
    <t>WP-405</t>
  </si>
  <si>
    <t>Ice-Crystal Pure Titanium Egg Cup</t>
  </si>
  <si>
    <t>WP-406</t>
  </si>
  <si>
    <t>Pure Titanium Capsule Bottle</t>
  </si>
  <si>
    <t>300ML</t>
  </si>
  <si>
    <t>WP-407</t>
  </si>
  <si>
    <t>Double-Wall Stainless Desk Cup</t>
  </si>
  <si>
    <t>不锈钢双层桌杯</t>
  </si>
  <si>
    <t>WP-408</t>
  </si>
  <si>
    <t>Titanium Tea Infuser Cup</t>
  </si>
  <si>
    <t>钛茶滤杯 480ml</t>
  </si>
  <si>
    <t>套件 FOB 成本计算 — 8 个套件，每个独立块</t>
  </si>
  <si>
    <t>⚠️ 2026-06-09 更新：每个套件新增 4 项成本（🆕橙色行 = 国内运费/包装人工/外箱/品牌印刷物），默认 0。你后期根据询价/真实情况填入数据，FOB 自动重算。SOHO 加价已自动包含这 4 项。</t>
  </si>
  <si>
    <t>组件 USD 自动从「单品成本」表 VLOOKUP；包装费 / 一次性费 / 加价% 来自配置表。FOB 自动计算。</t>
  </si>
  <si>
    <t>WGS-001  ·  The Desk Starter</t>
  </si>
  <si>
    <t>单品 USD（来自单品成本表）</t>
  </si>
  <si>
    <t>数量</t>
  </si>
  <si>
    <t>小计 USD</t>
  </si>
  <si>
    <t>Inkless 笔</t>
  </si>
  <si>
    <t>锌开信刀</t>
  </si>
  <si>
    <t>金属书签</t>
  </si>
  <si>
    <t>组件合计 (USD)</t>
  </si>
  <si>
    <t>包装：Drawer Rigid Box + EVA  [基于网搜真实数据 — 待询价确认]</t>
  </si>
  <si>
    <t>🆕 国内运费分摊（工厂→打包仓→上海港）</t>
  </si>
  <si>
    <t>🆕 包装人工（拆包/分装/封盒/贴标）</t>
  </si>
  <si>
    <t>🆕 外箱+内填充（出口纸箱/气泡膜）</t>
  </si>
  <si>
    <t>🆕 品牌印刷物（cert卡/说明书/吊牌，可选）</t>
  </si>
  <si>
    <t>其他：CCPIT 证书 + 单证 + QC（每套分摊）</t>
  </si>
  <si>
    <t>直接成本合计 (USD)</t>
  </si>
  <si>
    <t>+ SOHO 加价（仅 加在 组件+包装+4 新增项 上）</t>
  </si>
  <si>
    <t>★ FOB Shanghai per set (USD)</t>
  </si>
  <si>
    <t>WGS-002  ·  The Mechanical Desk</t>
  </si>
  <si>
    <t>黄铜螺旋笔</t>
  </si>
  <si>
    <t>螺旋开信刀</t>
  </si>
  <si>
    <t>折叠铝支架</t>
  </si>
  <si>
    <t>包装：Magnetic Box + EVA + Foil  [基于网搜真实数据 — 待询价确认]</t>
  </si>
  <si>
    <t>WGS-003  ·  The Pocket Three</t>
  </si>
  <si>
    <t>包装：Tin Box  [基于网搜真实数据 — 待询价确认]</t>
  </si>
  <si>
    <t>WGS-004  ·  The Field EDC</t>
  </si>
  <si>
    <t>战术不锈钢笔</t>
  </si>
  <si>
    <t>撬棒</t>
  </si>
  <si>
    <t>折叠剪</t>
  </si>
  <si>
    <t>包装：Drawer Box / Tin Box  [基于网搜真实数据 — 待询价确认]</t>
  </si>
  <si>
    <t>WGS-005  ·  The Morning Ritual</t>
  </si>
  <si>
    <t>钛胶囊瓶 150ml</t>
  </si>
  <si>
    <t>钛钥匙扣</t>
  </si>
  <si>
    <t>包装：Magnetic Box + EVA  [基于网搜真实数据 — 待询价确认]</t>
  </si>
  <si>
    <t>WGS-006  ·  The First Day</t>
  </si>
  <si>
    <t>RFID 卡套</t>
  </si>
  <si>
    <t>6-in-1 笔</t>
  </si>
  <si>
    <t>铝笔架</t>
  </si>
  <si>
    <t>包装：Rigid Lid Box + EVA  [基于网搜真实数据 — 待询价确认]</t>
  </si>
  <si>
    <t>WGS-007  ·  The Thinking Desk</t>
  </si>
  <si>
    <t>不锈钢桌杯</t>
  </si>
  <si>
    <t>WGS-008  ·  The Quartet</t>
  </si>
  <si>
    <t>不锈钢卡盒</t>
  </si>
  <si>
    <t>钛茶滤杯</t>
  </si>
  <si>
    <t>包装：Magnetic + Soft-Touch + EVA (4-piece)  [基于网搜真实数据 — 待询价确认]</t>
  </si>
  <si>
    <r>
      <rPr>
        <b/>
        <sz val="14"/>
        <color rgb="FFB87333"/>
        <rFont val="DejaVu Sans"/>
        <family val="2"/>
      </rPr>
      <t xml:space="preserve">完整报价表 — 选套件 </t>
    </r>
    <r>
      <rPr>
        <b/>
        <sz val="14"/>
        <color rgb="FFB87333"/>
        <rFont val="Arial"/>
        <family val="2"/>
      </rPr>
      <t xml:space="preserve">+ </t>
    </r>
    <r>
      <rPr>
        <b/>
        <sz val="14"/>
        <color rgb="FFB87333"/>
        <rFont val="DejaVu Sans"/>
        <family val="2"/>
      </rPr>
      <t xml:space="preserve">数量 </t>
    </r>
    <r>
      <rPr>
        <b/>
        <sz val="14"/>
        <color rgb="FFB87333"/>
        <rFont val="Arial"/>
        <family val="2"/>
      </rPr>
      <t xml:space="preserve">+ </t>
    </r>
    <r>
      <rPr>
        <b/>
        <sz val="14"/>
        <color rgb="FFB87333"/>
        <rFont val="DejaVu Sans"/>
        <family val="2"/>
      </rPr>
      <t xml:space="preserve">目的国 </t>
    </r>
    <r>
      <rPr>
        <b/>
        <sz val="14"/>
        <color rgb="FFB87333"/>
        <rFont val="Arial"/>
        <family val="2"/>
      </rPr>
      <t xml:space="preserve">= </t>
    </r>
    <r>
      <rPr>
        <b/>
        <sz val="14"/>
        <color rgb="FFB87333"/>
        <rFont val="DejaVu Sans"/>
        <family val="2"/>
      </rPr>
      <t xml:space="preserve">一键得 </t>
    </r>
    <r>
      <rPr>
        <b/>
        <sz val="14"/>
        <color rgb="FFB87333"/>
        <rFont val="Arial"/>
        <family val="2"/>
      </rPr>
      <t>FOB / CIF / DDP</t>
    </r>
  </si>
  <si>
    <t>黄色单元格自己改：套件、数量、目的国。其他数字全部自动算。</t>
  </si>
  <si>
    <t>🎯 输入参数</t>
  </si>
  <si>
    <r>
      <rPr>
        <b/>
        <sz val="12"/>
        <rFont val="DejaVu Sans"/>
        <family val="2"/>
      </rPr>
      <t xml:space="preserve">📦 套件 </t>
    </r>
    <r>
      <rPr>
        <b/>
        <sz val="12"/>
        <rFont val="Cambria"/>
        <family val="1"/>
      </rPr>
      <t xml:space="preserve">CBM </t>
    </r>
    <r>
      <rPr>
        <b/>
        <sz val="12"/>
        <rFont val="DejaVu Sans"/>
        <family val="2"/>
      </rPr>
      <t>参考表（可调）</t>
    </r>
  </si>
  <si>
    <t>选择套件</t>
  </si>
  <si>
    <t>WGS-001</t>
  </si>
  <si>
    <t>CBM/set</t>
  </si>
  <si>
    <t>订单数量（套）</t>
  </si>
  <si>
    <t>目的国家</t>
  </si>
  <si>
    <t>NZ</t>
    <phoneticPr fontId="2" type="noConversion"/>
  </si>
  <si>
    <t>WGS-002</t>
  </si>
  <si>
    <t>WGS-003</t>
  </si>
  <si>
    <t>📊 计算结果</t>
  </si>
  <si>
    <t>FOB per set (USD)</t>
  </si>
  <si>
    <t>📋 订单总价</t>
  </si>
  <si>
    <t>CBM per set</t>
  </si>
  <si>
    <t>报价方式</t>
  </si>
  <si>
    <r>
      <rPr>
        <b/>
        <sz val="10"/>
        <color rgb="FFFFFFFF"/>
        <rFont val="DejaVu Sans"/>
        <family val="2"/>
      </rPr>
      <t xml:space="preserve">单价 </t>
    </r>
    <r>
      <rPr>
        <b/>
        <sz val="10"/>
        <color rgb="FFFFFFFF"/>
        <rFont val="Arial"/>
        <family val="2"/>
      </rPr>
      <t>(USD)</t>
    </r>
  </si>
  <si>
    <r>
      <rPr>
        <b/>
        <sz val="10"/>
        <color rgb="FFFFFFFF"/>
        <rFont val="DejaVu Sans"/>
        <family val="2"/>
      </rPr>
      <t xml:space="preserve">订单总价 </t>
    </r>
    <r>
      <rPr>
        <b/>
        <sz val="10"/>
        <color rgb="FFFFFFFF"/>
        <rFont val="Arial"/>
        <family val="2"/>
      </rPr>
      <t>(USD)</t>
    </r>
  </si>
  <si>
    <r>
      <rPr>
        <sz val="10"/>
        <rFont val="DejaVu Sans"/>
        <family val="2"/>
      </rPr>
      <t xml:space="preserve">总 </t>
    </r>
    <r>
      <rPr>
        <sz val="10"/>
        <rFont val="Cambria"/>
        <family val="1"/>
      </rPr>
      <t>CBM</t>
    </r>
    <r>
      <rPr>
        <sz val="10"/>
        <rFont val="DejaVu Sans"/>
        <family val="2"/>
      </rPr>
      <t xml:space="preserve">（含 </t>
    </r>
    <r>
      <rPr>
        <sz val="10"/>
        <rFont val="Cambria"/>
        <family val="1"/>
      </rPr>
      <t xml:space="preserve">30% </t>
    </r>
    <r>
      <rPr>
        <sz val="10"/>
        <rFont val="DejaVu Sans"/>
        <family val="2"/>
      </rPr>
      <t>出口缓冲）</t>
    </r>
  </si>
  <si>
    <t>FOB Shanghai</t>
  </si>
  <si>
    <r>
      <rPr>
        <sz val="10"/>
        <rFont val="DejaVu Sans"/>
        <family val="2"/>
      </rPr>
      <t>海运费（</t>
    </r>
    <r>
      <rPr>
        <sz val="10"/>
        <rFont val="Cambria"/>
        <family val="1"/>
      </rPr>
      <t>USD</t>
    </r>
    <r>
      <rPr>
        <sz val="10"/>
        <rFont val="DejaVu Sans"/>
        <family val="2"/>
      </rPr>
      <t>，总）</t>
    </r>
  </si>
  <si>
    <t>CIF Destination</t>
  </si>
  <si>
    <r>
      <rPr>
        <sz val="10"/>
        <rFont val="DejaVu Sans"/>
        <family val="2"/>
      </rPr>
      <t xml:space="preserve">海运费 </t>
    </r>
    <r>
      <rPr>
        <sz val="10"/>
        <rFont val="Cambria"/>
        <family val="1"/>
      </rPr>
      <t>per set</t>
    </r>
  </si>
  <si>
    <t>DDP ex-GST</t>
  </si>
  <si>
    <r>
      <rPr>
        <sz val="10"/>
        <rFont val="DejaVu Sans"/>
        <family val="2"/>
      </rPr>
      <t xml:space="preserve">货值 </t>
    </r>
    <r>
      <rPr>
        <sz val="10"/>
        <rFont val="Cambria"/>
        <family val="1"/>
      </rPr>
      <t>per set</t>
    </r>
  </si>
  <si>
    <r>
      <rPr>
        <b/>
        <sz val="11"/>
        <rFont val="Cambria"/>
        <family val="1"/>
      </rPr>
      <t xml:space="preserve">DDP </t>
    </r>
    <r>
      <rPr>
        <b/>
        <sz val="11"/>
        <rFont val="DejaVu Sans"/>
        <family val="2"/>
      </rPr>
      <t xml:space="preserve">含 </t>
    </r>
    <r>
      <rPr>
        <b/>
        <sz val="11"/>
        <rFont val="Cambria"/>
        <family val="1"/>
      </rPr>
      <t>GST</t>
    </r>
  </si>
  <si>
    <r>
      <rPr>
        <sz val="10"/>
        <rFont val="DejaVu Sans"/>
        <family val="2"/>
      </rPr>
      <t xml:space="preserve">保险 </t>
    </r>
    <r>
      <rPr>
        <sz val="10"/>
        <rFont val="Cambria"/>
        <family val="1"/>
      </rPr>
      <t>per set</t>
    </r>
  </si>
  <si>
    <t>CIF per set (USD)</t>
  </si>
  <si>
    <r>
      <rPr>
        <sz val="10"/>
        <rFont val="DejaVu Sans"/>
        <family val="2"/>
      </rPr>
      <t xml:space="preserve">港口费 </t>
    </r>
    <r>
      <rPr>
        <sz val="10"/>
        <rFont val="Cambria"/>
        <family val="1"/>
      </rPr>
      <t>(USD</t>
    </r>
    <r>
      <rPr>
        <sz val="10"/>
        <rFont val="DejaVu Sans"/>
        <family val="2"/>
      </rPr>
      <t>，总</t>
    </r>
    <r>
      <rPr>
        <sz val="10"/>
        <rFont val="Cambria"/>
        <family val="1"/>
      </rPr>
      <t>)</t>
    </r>
  </si>
  <si>
    <r>
      <rPr>
        <sz val="10"/>
        <rFont val="DejaVu Sans"/>
        <family val="2"/>
      </rPr>
      <t xml:space="preserve">港口费 </t>
    </r>
    <r>
      <rPr>
        <sz val="10"/>
        <rFont val="Cambria"/>
        <family val="1"/>
      </rPr>
      <t>per set</t>
    </r>
  </si>
  <si>
    <r>
      <rPr>
        <sz val="10"/>
        <rFont val="DejaVu Sans"/>
        <family val="2"/>
      </rPr>
      <t xml:space="preserve">关税率（按 </t>
    </r>
    <r>
      <rPr>
        <sz val="10"/>
        <rFont val="Cambria"/>
        <family val="1"/>
      </rPr>
      <t>FTA</t>
    </r>
    <r>
      <rPr>
        <sz val="10"/>
        <rFont val="DejaVu Sans"/>
        <family val="2"/>
      </rPr>
      <t>）</t>
    </r>
  </si>
  <si>
    <r>
      <rPr>
        <sz val="10"/>
        <rFont val="DejaVu Sans"/>
        <family val="2"/>
      </rPr>
      <t xml:space="preserve">关税 </t>
    </r>
    <r>
      <rPr>
        <sz val="10"/>
        <rFont val="Cambria"/>
        <family val="1"/>
      </rPr>
      <t>per set</t>
    </r>
  </si>
  <si>
    <r>
      <rPr>
        <sz val="10"/>
        <rFont val="DejaVu Sans"/>
        <family val="2"/>
      </rPr>
      <t xml:space="preserve">内陆派送 </t>
    </r>
    <r>
      <rPr>
        <sz val="10"/>
        <rFont val="Cambria"/>
        <family val="1"/>
      </rPr>
      <t>(USD</t>
    </r>
    <r>
      <rPr>
        <sz val="10"/>
        <rFont val="DejaVu Sans"/>
        <family val="2"/>
      </rPr>
      <t>，总</t>
    </r>
    <r>
      <rPr>
        <sz val="10"/>
        <rFont val="Cambria"/>
        <family val="1"/>
      </rPr>
      <t>)</t>
    </r>
  </si>
  <si>
    <r>
      <rPr>
        <sz val="10"/>
        <rFont val="DejaVu Sans"/>
        <family val="2"/>
      </rPr>
      <t xml:space="preserve">内陆派送 </t>
    </r>
    <r>
      <rPr>
        <sz val="10"/>
        <rFont val="Cambria"/>
        <family val="1"/>
      </rPr>
      <t>per set</t>
    </r>
  </si>
  <si>
    <t>DDP per set ex-GST (USD)</t>
  </si>
  <si>
    <r>
      <rPr>
        <sz val="10"/>
        <rFont val="Cambria"/>
        <family val="1"/>
      </rPr>
      <t xml:space="preserve">GST/VAT </t>
    </r>
    <r>
      <rPr>
        <sz val="10"/>
        <rFont val="DejaVu Sans"/>
        <family val="2"/>
      </rPr>
      <t>率</t>
    </r>
  </si>
  <si>
    <r>
      <rPr>
        <b/>
        <sz val="11"/>
        <rFont val="Cambria"/>
        <family val="1"/>
      </rPr>
      <t xml:space="preserve">DDP per set </t>
    </r>
    <r>
      <rPr>
        <b/>
        <sz val="11"/>
        <rFont val="DejaVu Sans"/>
        <family val="2"/>
      </rPr>
      <t xml:space="preserve">含 </t>
    </r>
    <r>
      <rPr>
        <b/>
        <sz val="11"/>
        <rFont val="Cambria"/>
        <family val="1"/>
      </rPr>
      <t>GST (USD)</t>
    </r>
  </si>
  <si>
    <r>
      <rPr>
        <b/>
        <sz val="10"/>
        <rFont val="DejaVu Sans"/>
        <family val="2"/>
      </rPr>
      <t xml:space="preserve">📝 说明 </t>
    </r>
    <r>
      <rPr>
        <b/>
        <sz val="10"/>
        <rFont val="Cambria"/>
        <family val="1"/>
      </rPr>
      <t xml:space="preserve">/ </t>
    </r>
    <r>
      <rPr>
        <b/>
        <sz val="10"/>
        <rFont val="DejaVu Sans"/>
        <family val="2"/>
      </rPr>
      <t>假设：</t>
    </r>
  </si>
  <si>
    <r>
      <rPr>
        <sz val="9"/>
        <color rgb="FF555555"/>
        <rFont val="Cambria"/>
        <family val="1"/>
      </rPr>
      <t xml:space="preserve">1. FOB / CIF / DDP </t>
    </r>
    <r>
      <rPr>
        <sz val="9"/>
        <color rgb="FF555555"/>
        <rFont val="DejaVu Sans"/>
        <family val="2"/>
      </rPr>
      <t xml:space="preserve">都是 </t>
    </r>
    <r>
      <rPr>
        <sz val="9"/>
        <color rgb="FF555555"/>
        <rFont val="Cambria"/>
        <family val="1"/>
      </rPr>
      <t xml:space="preserve">SOHO </t>
    </r>
    <r>
      <rPr>
        <sz val="9"/>
        <color rgb="FF555555"/>
        <rFont val="DejaVu Sans"/>
        <family val="2"/>
      </rPr>
      <t>加价后的售价（含你的毛利）</t>
    </r>
  </si>
  <si>
    <r>
      <rPr>
        <sz val="9"/>
        <color rgb="FF555555"/>
        <rFont val="Cambria"/>
        <family val="1"/>
      </rPr>
      <t xml:space="preserve">2. DDP ex-GST </t>
    </r>
    <r>
      <rPr>
        <sz val="9"/>
        <color rgb="FF555555"/>
        <rFont val="DejaVu Sans"/>
        <family val="2"/>
      </rPr>
      <t xml:space="preserve">是行业标准 </t>
    </r>
    <r>
      <rPr>
        <sz val="9"/>
        <color rgb="FF555555"/>
        <rFont val="Cambria"/>
        <family val="1"/>
      </rPr>
      <t xml:space="preserve">B2B </t>
    </r>
    <r>
      <rPr>
        <sz val="9"/>
        <color rgb="FF555555"/>
        <rFont val="DejaVu Sans"/>
        <family val="2"/>
      </rPr>
      <t>报价（</t>
    </r>
    <r>
      <rPr>
        <sz val="9"/>
        <color rgb="FF555555"/>
        <rFont val="Cambria"/>
        <family val="1"/>
      </rPr>
      <t xml:space="preserve">GST </t>
    </r>
    <r>
      <rPr>
        <sz val="9"/>
        <color rgb="FF555555"/>
        <rFont val="DejaVu Sans"/>
        <family val="2"/>
      </rPr>
      <t>由买家退税回收）</t>
    </r>
  </si>
  <si>
    <r>
      <rPr>
        <sz val="9"/>
        <color rgb="FF555555"/>
        <rFont val="Cambria"/>
        <family val="1"/>
      </rPr>
      <t xml:space="preserve">3. DDP </t>
    </r>
    <r>
      <rPr>
        <sz val="9"/>
        <color rgb="FF555555"/>
        <rFont val="DejaVu Sans"/>
        <family val="2"/>
      </rPr>
      <t xml:space="preserve">含 </t>
    </r>
    <r>
      <rPr>
        <sz val="9"/>
        <color rgb="FF555555"/>
        <rFont val="Cambria"/>
        <family val="1"/>
      </rPr>
      <t xml:space="preserve">GST </t>
    </r>
    <r>
      <rPr>
        <sz val="9"/>
        <color rgb="FF555555"/>
        <rFont val="DejaVu Sans"/>
        <family val="2"/>
      </rPr>
      <t>适合</t>
    </r>
    <r>
      <rPr>
        <sz val="9"/>
        <color rgb="FF555555"/>
        <rFont val="Cambria"/>
        <family val="1"/>
      </rPr>
      <t>"</t>
    </r>
    <r>
      <rPr>
        <sz val="9"/>
        <color rgb="FF555555"/>
        <rFont val="DejaVu Sans"/>
        <family val="2"/>
      </rPr>
      <t>全包到门</t>
    </r>
    <r>
      <rPr>
        <sz val="9"/>
        <color rgb="FF555555"/>
        <rFont val="Cambria"/>
        <family val="1"/>
      </rPr>
      <t>"</t>
    </r>
    <r>
      <rPr>
        <sz val="9"/>
        <color rgb="FF555555"/>
        <rFont val="DejaVu Sans"/>
        <family val="2"/>
      </rPr>
      <t xml:space="preserve">报价（用于直接面向终端 </t>
    </r>
    <r>
      <rPr>
        <sz val="9"/>
        <color rgb="FF555555"/>
        <rFont val="Cambria"/>
        <family val="1"/>
      </rPr>
      <t xml:space="preserve">/ </t>
    </r>
    <r>
      <rPr>
        <sz val="9"/>
        <color rgb="FF555555"/>
        <rFont val="DejaVu Sans"/>
        <family val="2"/>
      </rPr>
      <t>政府）</t>
    </r>
  </si>
  <si>
    <r>
      <rPr>
        <sz val="9"/>
        <color rgb="FF555555"/>
        <rFont val="Cambria"/>
        <family val="1"/>
      </rPr>
      <t xml:space="preserve">4. 100 </t>
    </r>
    <r>
      <rPr>
        <sz val="9"/>
        <color rgb="FF555555"/>
        <rFont val="DejaVu Sans"/>
        <family val="2"/>
      </rPr>
      <t>套是小批量，</t>
    </r>
    <r>
      <rPr>
        <sz val="9"/>
        <color rgb="FF555555"/>
        <rFont val="Cambria"/>
        <family val="1"/>
      </rPr>
      <t xml:space="preserve">500+ </t>
    </r>
    <r>
      <rPr>
        <sz val="9"/>
        <color rgb="FF555555"/>
        <rFont val="DejaVu Sans"/>
        <family val="2"/>
      </rPr>
      <t xml:space="preserve">套时直接成本会下降 </t>
    </r>
    <r>
      <rPr>
        <sz val="9"/>
        <color rgb="FF555555"/>
        <rFont val="Cambria"/>
        <family val="1"/>
      </rPr>
      <t>15-25%</t>
    </r>
  </si>
  <si>
    <r>
      <rPr>
        <sz val="9"/>
        <color rgb="FF555555"/>
        <rFont val="Cambria"/>
        <family val="1"/>
      </rPr>
      <t xml:space="preserve">5. </t>
    </r>
    <r>
      <rPr>
        <sz val="9"/>
        <color rgb="FF555555"/>
        <rFont val="DejaVu Sans"/>
        <family val="2"/>
      </rPr>
      <t>改 ⚙️ 配置 的</t>
    </r>
    <r>
      <rPr>
        <sz val="9"/>
        <color rgb="FF555555"/>
        <rFont val="Cambria"/>
        <family val="1"/>
      </rPr>
      <t xml:space="preserve">"SOHO </t>
    </r>
    <r>
      <rPr>
        <sz val="9"/>
        <color rgb="FF555555"/>
        <rFont val="DejaVu Sans"/>
        <family val="2"/>
      </rPr>
      <t xml:space="preserve">加价 </t>
    </r>
    <r>
      <rPr>
        <sz val="9"/>
        <color rgb="FF555555"/>
        <rFont val="Cambria"/>
        <family val="1"/>
      </rPr>
      <t>%"</t>
    </r>
    <r>
      <rPr>
        <sz val="9"/>
        <color rgb="FF555555"/>
        <rFont val="DejaVu Sans"/>
        <family val="2"/>
      </rPr>
      <t>可整体调整报价利润</t>
    </r>
  </si>
  <si>
    <r>
      <rPr>
        <sz val="9"/>
        <color rgb="FF555555"/>
        <rFont val="Cambria"/>
        <family val="1"/>
      </rPr>
      <t xml:space="preserve">6. </t>
    </r>
    <r>
      <rPr>
        <sz val="9"/>
        <color rgb="FF555555"/>
        <rFont val="DejaVu Sans"/>
        <family val="2"/>
      </rPr>
      <t xml:space="preserve">改 📦 单品成本 的「含税单价 </t>
    </r>
    <r>
      <rPr>
        <sz val="9"/>
        <color rgb="FF555555"/>
        <rFont val="Cambria"/>
        <family val="1"/>
      </rPr>
      <t>RMB</t>
    </r>
    <r>
      <rPr>
        <sz val="9"/>
        <color rgb="FF555555"/>
        <rFont val="DejaVu Sans"/>
        <family val="2"/>
      </rPr>
      <t>」列可更新实际工厂报价</t>
    </r>
  </si>
  <si>
    <t>Set</t>
  </si>
  <si>
    <t>Gift box size mm</t>
  </si>
  <si>
    <t>Packing layout</t>
  </si>
  <si>
    <t>Sets/carton</t>
  </si>
  <si>
    <t>Carton size mm</t>
  </si>
  <si>
    <t>CBM/carton</t>
  </si>
  <si>
    <t>Dim weight /5000 kg</t>
  </si>
  <si>
    <t>Gross weight/carton</t>
  </si>
  <si>
    <t>WGS-001-3</t>
  </si>
  <si>
    <t>285 x 165 x 40</t>
  </si>
  <si>
    <t>2 x 3 x 4 layers</t>
  </si>
  <si>
    <t>610 x 520 x 180</t>
    <phoneticPr fontId="2" type="noConversion"/>
  </si>
  <si>
    <t>15-16kg</t>
  </si>
  <si>
    <t>WGS-002-3</t>
  </si>
  <si>
    <t>295 x 230 x 50</t>
  </si>
  <si>
    <t>2 x 2 x 3 layers</t>
  </si>
  <si>
    <t>610 x 520 x 180</t>
  </si>
  <si>
    <t>13-14.5kg</t>
  </si>
  <si>
    <t>WGS-003-3</t>
  </si>
  <si>
    <t>200 x 190 x 38</t>
  </si>
  <si>
    <t>3 x 2 x 4 layers</t>
  </si>
  <si>
    <t>610 x 420 x 180</t>
  </si>
  <si>
    <t>11-13kg</t>
  </si>
  <si>
    <t>WGS-004-3</t>
  </si>
  <si>
    <t>240 x 180 x 45</t>
  </si>
  <si>
    <t>610 x 520 x 210</t>
  </si>
  <si>
    <t>14-16.5kg</t>
  </si>
  <si>
    <t>WGS-005-3</t>
  </si>
  <si>
    <t>255 x 205 x 75</t>
  </si>
  <si>
    <t>540 x 440 x 250</t>
  </si>
  <si>
    <t>11.5-13kg</t>
  </si>
  <si>
    <t>WGS-006-3</t>
  </si>
  <si>
    <t>330 x 230 x 105</t>
  </si>
  <si>
    <t>1 x 2 x 3 layers</t>
  </si>
  <si>
    <t>480 x 360 x 340</t>
  </si>
  <si>
    <t>12-14.5kg</t>
  </si>
  <si>
    <t>WGS-007-3</t>
  </si>
  <si>
    <t>280 x 230 x 115</t>
  </si>
  <si>
    <t>2 x 2 x 2 layers</t>
  </si>
  <si>
    <t>590 x 490 x 255</t>
  </si>
  <si>
    <t>13-15.5kg</t>
  </si>
  <si>
    <t>WGS-008-4</t>
  </si>
  <si>
    <t>360 x 290 x 90</t>
  </si>
  <si>
    <t>610 x 390 x 300</t>
  </si>
  <si>
    <t>13.5-15.5kg</t>
  </si>
  <si>
    <t>Flexible Export Carton Plan</t>
  </si>
  <si>
    <t>Different carton sizes per set. Best for air/express, smaller mixed orders, and lower dimensional-weight waste.</t>
  </si>
  <si>
    <t>Carton min $</t>
  </si>
  <si>
    <t>Carton max $</t>
  </si>
  <si>
    <t>Carton cost/set min $</t>
  </si>
  <si>
    <t>Carton cost/set max $</t>
  </si>
  <si>
    <t>测算用</t>
    <phoneticPr fontId="2" type="noConversion"/>
  </si>
  <si>
    <t>WGS-004</t>
  </si>
  <si>
    <t>WGS-005</t>
  </si>
  <si>
    <t>WGS-006</t>
  </si>
  <si>
    <t>WGS-007</t>
  </si>
  <si>
    <t>WGS-008</t>
  </si>
  <si>
    <t>Weight/Carton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</si>
</sst>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\$0.00"/>
    <numFmt numFmtId="177" formatCode="0.0%"/>
    <numFmt numFmtId="178" formatCode="\$#,##0.00;\-\$#,##0.00"/>
    <numFmt numFmtId="179" formatCode="0.00000"/>
    <numFmt numFmtId="180" formatCode="0.000"/>
    <numFmt numFmtId="181" formatCode="\$#,##0"/>
    <numFmt numFmtId="182" formatCode="\$0.0000"/>
    <numFmt numFmtId="183" formatCode="0.0"/>
  </numFmts>
  <fonts count="40">
    <font>
      <sz val="11"/>
      <color theme="1"/>
      <name val="Calibri"/>
      <family val="2"/>
      <charset val="1"/>
    </font>
    <font>
      <b/>
      <sz val="14"/>
      <color rgb="FFB87333"/>
      <name val="DejaVu Sans"/>
      <family val="2"/>
    </font>
    <font>
      <sz val="9"/>
      <name val="宋体"/>
      <family val="3"/>
      <charset val="134"/>
    </font>
    <font>
      <b/>
      <sz val="10"/>
      <name val="DejaVu Sans"/>
      <family val="2"/>
    </font>
    <font>
      <i/>
      <sz val="9"/>
      <color rgb="FF666666"/>
      <name val="Cambria"/>
      <family val="1"/>
    </font>
    <font>
      <i/>
      <sz val="9"/>
      <color rgb="FF666666"/>
      <name val="DejaVu Sans"/>
      <family val="2"/>
    </font>
    <font>
      <b/>
      <sz val="10"/>
      <color rgb="FFFFFFFF"/>
      <name val="Arial"/>
      <family val="2"/>
    </font>
    <font>
      <b/>
      <sz val="10"/>
      <color rgb="FFFFFFFF"/>
      <name val="DejaVu Sans"/>
      <family val="2"/>
    </font>
    <font>
      <b/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color rgb="FFFFFFFF"/>
      <name val="DejaVu Sans"/>
      <family val="2"/>
      <charset val="134"/>
    </font>
    <font>
      <sz val="11"/>
      <color theme="1"/>
      <name val="宋体"/>
      <family val="2"/>
      <charset val="134"/>
    </font>
    <font>
      <b/>
      <sz val="14"/>
      <color rgb="FFB87333"/>
      <name val="Arial"/>
      <family val="2"/>
    </font>
    <font>
      <i/>
      <sz val="10"/>
      <color rgb="FF555555"/>
      <name val="DejaVu Sans"/>
      <family val="2"/>
    </font>
    <font>
      <b/>
      <sz val="12"/>
      <color rgb="FF000000"/>
      <name val="DejaVu Sans"/>
      <family val="2"/>
    </font>
    <font>
      <b/>
      <sz val="10"/>
      <color rgb="FFC00000"/>
      <name val="Microsoft YaHei"/>
      <family val="2"/>
      <charset val="134"/>
    </font>
    <font>
      <b/>
      <sz val="10"/>
      <color rgb="FF9C0006"/>
      <name val="Microsoft YaHei"/>
      <family val="2"/>
      <charset val="134"/>
    </font>
    <font>
      <sz val="11"/>
      <name val="Calibri"/>
      <family val="2"/>
    </font>
    <font>
      <b/>
      <sz val="11"/>
      <color rgb="FFFFFFFF"/>
      <name val="Microsoft YaHei"/>
      <family val="2"/>
      <charset val="134"/>
    </font>
    <font>
      <b/>
      <sz val="10"/>
      <name val="Microsoft YaHei"/>
      <family val="2"/>
      <charset val="134"/>
    </font>
    <font>
      <b/>
      <sz val="11"/>
      <name val="Calibri"/>
      <family val="2"/>
    </font>
    <font>
      <b/>
      <sz val="11"/>
      <color rgb="FF1F4E78"/>
      <name val="Calibri"/>
      <family val="2"/>
    </font>
    <font>
      <b/>
      <sz val="12"/>
      <name val="Microsoft YaHei"/>
      <family val="2"/>
      <charset val="134"/>
    </font>
    <font>
      <sz val="11"/>
      <color theme="1"/>
      <name val="Calibri"/>
      <family val="2"/>
      <charset val="1"/>
    </font>
    <font>
      <b/>
      <sz val="12"/>
      <name val="DejaVu Sans"/>
      <family val="2"/>
    </font>
    <font>
      <b/>
      <sz val="12"/>
      <name val="Cambria"/>
      <family val="1"/>
    </font>
    <font>
      <b/>
      <sz val="11"/>
      <color rgb="FF0000FF"/>
      <name val="Arial"/>
      <family val="2"/>
    </font>
    <font>
      <b/>
      <sz val="11"/>
      <name val="Cambria"/>
      <family val="1"/>
    </font>
    <font>
      <sz val="10"/>
      <name val="Cambria"/>
      <family val="1"/>
    </font>
    <font>
      <sz val="10"/>
      <name val="DejaVu Sans"/>
      <family val="2"/>
    </font>
    <font>
      <b/>
      <sz val="11"/>
      <name val="DejaVu Sans"/>
      <family val="2"/>
    </font>
    <font>
      <b/>
      <sz val="10"/>
      <name val="Cambria"/>
      <family val="1"/>
    </font>
    <font>
      <sz val="9"/>
      <color rgb="FF555555"/>
      <name val="Cambria"/>
      <family val="1"/>
    </font>
    <font>
      <sz val="9"/>
      <color rgb="FF555555"/>
      <name val="DejaVu Sans"/>
      <family val="2"/>
    </font>
    <font>
      <sz val="11"/>
      <name val="Carlito"/>
    </font>
    <font>
      <b/>
      <sz val="10"/>
      <color rgb="FFFFFFFF"/>
      <name val="Carlito"/>
    </font>
    <font>
      <sz val="10"/>
      <color rgb="FF111827"/>
      <name val="Carlito"/>
    </font>
    <font>
      <b/>
      <sz val="16"/>
      <color rgb="FFFFFFFF"/>
      <name val="Carlito"/>
    </font>
    <font>
      <sz val="10"/>
      <color rgb="FF334155"/>
      <name val="Carlito"/>
    </font>
  </fonts>
  <fills count="18">
    <fill>
      <patternFill patternType="none"/>
    </fill>
    <fill>
      <patternFill patternType="gray125"/>
    </fill>
    <fill>
      <patternFill patternType="solid">
        <fgColor rgb="FFB87333"/>
        <bgColor rgb="FF808080"/>
      </patternFill>
    </fill>
    <fill>
      <patternFill patternType="solid">
        <fgColor rgb="FFFFFFCC"/>
        <bgColor rgb="FFF4F1EC"/>
      </patternFill>
    </fill>
    <fill>
      <patternFill patternType="solid">
        <fgColor rgb="FFF4F1EC"/>
        <bgColor rgb="FFFFFFFF"/>
      </patternFill>
    </fill>
    <fill>
      <patternFill patternType="solid">
        <fgColor rgb="FFFCE4D6"/>
      </patternFill>
    </fill>
    <fill>
      <patternFill patternType="solid">
        <fgColor rgb="FFFFE699"/>
      </patternFill>
    </fill>
    <fill>
      <patternFill patternType="solid">
        <fgColor rgb="FF2E75B6"/>
      </patternFill>
    </fill>
    <fill>
      <patternFill patternType="solid">
        <fgColor rgb="FF8FAADC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C000"/>
      </patternFill>
    </fill>
    <fill>
      <patternFill patternType="solid">
        <fgColor rgb="FFD4EDDA"/>
        <bgColor rgb="FFCCE5FF"/>
      </patternFill>
    </fill>
    <fill>
      <patternFill patternType="solid">
        <fgColor rgb="FFCCE5FF"/>
        <bgColor rgb="FFD4EDDA"/>
      </patternFill>
    </fill>
    <fill>
      <patternFill patternType="solid">
        <fgColor rgb="FFF8D7DA"/>
        <bgColor rgb="FFFFE4B5"/>
      </patternFill>
    </fill>
    <fill>
      <patternFill patternType="solid">
        <fgColor rgb="FF0F766E"/>
      </patternFill>
    </fill>
    <fill>
      <patternFill patternType="solid">
        <fgColor rgb="FF1F2937"/>
      </patternFill>
    </fill>
    <fill>
      <patternFill patternType="solid">
        <fgColor rgb="FFF6F8FA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/>
      <right/>
      <top/>
      <bottom style="thin">
        <color rgb="FFD7DEE8"/>
      </bottom>
      <diagonal/>
    </border>
  </borders>
  <cellStyleXfs count="4">
    <xf numFmtId="0" fontId="0" fillId="0" borderId="0"/>
    <xf numFmtId="0" fontId="24" fillId="0" borderId="2"/>
    <xf numFmtId="0" fontId="35" fillId="0" borderId="2"/>
    <xf numFmtId="0" fontId="35" fillId="0" borderId="2"/>
  </cellStyleXfs>
  <cellXfs count="117">
    <xf numFmtId="0" fontId="0" fillId="0" borderId="0" xfId="0"/>
    <xf numFmtId="0" fontId="3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2" fontId="8" fillId="3" borderId="1" xfId="0" applyNumberFormat="1" applyFont="1" applyFill="1" applyBorder="1"/>
    <xf numFmtId="176" fontId="9" fillId="0" borderId="1" xfId="0" applyNumberFormat="1" applyFont="1" applyBorder="1"/>
    <xf numFmtId="176" fontId="8" fillId="3" borderId="1" xfId="0" applyNumberFormat="1" applyFont="1" applyFill="1" applyBorder="1"/>
    <xf numFmtId="176" fontId="10" fillId="0" borderId="1" xfId="0" applyNumberFormat="1" applyFont="1" applyBorder="1"/>
    <xf numFmtId="0" fontId="11" fillId="2" borderId="1" xfId="0" applyFont="1" applyFill="1" applyBorder="1" applyAlignment="1">
      <alignment horizontal="center" vertical="center" wrapText="1"/>
    </xf>
    <xf numFmtId="10" fontId="9" fillId="0" borderId="1" xfId="0" applyNumberFormat="1" applyFont="1" applyBorder="1"/>
    <xf numFmtId="0" fontId="0" fillId="0" borderId="1" xfId="0" applyBorder="1"/>
    <xf numFmtId="0" fontId="5" fillId="0" borderId="1" xfId="0" applyFont="1" applyBorder="1"/>
    <xf numFmtId="0" fontId="4" fillId="0" borderId="1" xfId="0" applyFont="1" applyBorder="1"/>
    <xf numFmtId="0" fontId="5" fillId="0" borderId="0" xfId="0" applyFont="1"/>
    <xf numFmtId="0" fontId="4" fillId="0" borderId="0" xfId="0" applyFont="1"/>
    <xf numFmtId="0" fontId="1" fillId="0" borderId="0" xfId="0" applyFont="1"/>
    <xf numFmtId="0" fontId="12" fillId="0" borderId="0" xfId="0" applyFont="1"/>
    <xf numFmtId="0" fontId="10" fillId="0" borderId="0" xfId="0" applyFont="1"/>
    <xf numFmtId="177" fontId="8" fillId="3" borderId="1" xfId="0" applyNumberFormat="1" applyFont="1" applyFill="1" applyBorder="1"/>
    <xf numFmtId="0" fontId="0" fillId="0" borderId="0" xfId="0" applyAlignment="1">
      <alignment horizontal="center"/>
    </xf>
    <xf numFmtId="10" fontId="8" fillId="3" borderId="1" xfId="0" applyNumberFormat="1" applyFont="1" applyFill="1" applyBorder="1"/>
    <xf numFmtId="0" fontId="16" fillId="2" borderId="1" xfId="0" applyFont="1" applyFill="1" applyBorder="1" applyAlignment="1">
      <alignment horizontal="center" vertical="center" wrapText="1"/>
    </xf>
    <xf numFmtId="2" fontId="8" fillId="5" borderId="1" xfId="0" applyNumberFormat="1" applyFont="1" applyFill="1" applyBorder="1"/>
    <xf numFmtId="0" fontId="18" fillId="0" borderId="2" xfId="0" applyFont="1" applyBorder="1"/>
    <xf numFmtId="0" fontId="20" fillId="8" borderId="3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3" xfId="0" applyFont="1" applyBorder="1"/>
    <xf numFmtId="176" fontId="18" fillId="0" borderId="3" xfId="0" applyNumberFormat="1" applyFont="1" applyBorder="1"/>
    <xf numFmtId="0" fontId="18" fillId="9" borderId="3" xfId="0" applyFont="1" applyFill="1" applyBorder="1" applyAlignment="1">
      <alignment horizontal="center"/>
    </xf>
    <xf numFmtId="0" fontId="21" fillId="0" borderId="2" xfId="0" applyFont="1" applyBorder="1"/>
    <xf numFmtId="176" fontId="21" fillId="10" borderId="2" xfId="0" applyNumberFormat="1" applyFont="1" applyFill="1" applyBorder="1"/>
    <xf numFmtId="176" fontId="22" fillId="9" borderId="2" xfId="0" applyNumberFormat="1" applyFont="1" applyFill="1" applyBorder="1"/>
    <xf numFmtId="176" fontId="18" fillId="5" borderId="2" xfId="0" applyNumberFormat="1" applyFont="1" applyFill="1" applyBorder="1"/>
    <xf numFmtId="9" fontId="18" fillId="0" borderId="2" xfId="0" applyNumberFormat="1" applyFont="1" applyBorder="1"/>
    <xf numFmtId="0" fontId="18" fillId="9" borderId="2" xfId="0" applyFont="1" applyFill="1" applyBorder="1"/>
    <xf numFmtId="0" fontId="18" fillId="0" borderId="2" xfId="0" applyFont="1" applyBorder="1" applyAlignment="1">
      <alignment horizontal="left" vertical="center"/>
    </xf>
    <xf numFmtId="0" fontId="21" fillId="10" borderId="2" xfId="0" applyFont="1" applyFill="1" applyBorder="1"/>
    <xf numFmtId="0" fontId="21" fillId="0" borderId="2" xfId="0" applyFont="1" applyBorder="1" applyAlignment="1">
      <alignment horizontal="center" vertical="center" wrapText="1"/>
    </xf>
    <xf numFmtId="0" fontId="21" fillId="10" borderId="2" xfId="0" applyFont="1" applyFill="1" applyBorder="1" applyAlignment="1">
      <alignment horizontal="center" vertical="center" wrapText="1"/>
    </xf>
    <xf numFmtId="0" fontId="23" fillId="11" borderId="2" xfId="0" applyFont="1" applyFill="1" applyBorder="1"/>
    <xf numFmtId="176" fontId="18" fillId="0" borderId="2" xfId="0" applyNumberFormat="1" applyFont="1" applyBorder="1"/>
    <xf numFmtId="0" fontId="18" fillId="0" borderId="2" xfId="0" applyFont="1" applyBorder="1" applyAlignment="1">
      <alignment horizontal="center"/>
    </xf>
    <xf numFmtId="176" fontId="23" fillId="11" borderId="2" xfId="0" applyNumberFormat="1" applyFont="1" applyFill="1" applyBorder="1"/>
    <xf numFmtId="176" fontId="20" fillId="8" borderId="3" xfId="0" applyNumberFormat="1" applyFont="1" applyFill="1" applyBorder="1" applyAlignment="1">
      <alignment horizontal="center" vertical="center" wrapText="1"/>
    </xf>
    <xf numFmtId="0" fontId="18" fillId="9" borderId="3" xfId="0" applyFont="1" applyFill="1" applyBorder="1"/>
    <xf numFmtId="0" fontId="18" fillId="5" borderId="2" xfId="0" applyFont="1" applyFill="1" applyBorder="1"/>
    <xf numFmtId="0" fontId="18" fillId="5" borderId="2" xfId="0" applyFont="1" applyFill="1" applyBorder="1" applyAlignment="1">
      <alignment horizontal="center" vertical="center" wrapText="1"/>
    </xf>
    <xf numFmtId="176" fontId="18" fillId="9" borderId="2" xfId="0" applyNumberFormat="1" applyFont="1" applyFill="1" applyBorder="1"/>
    <xf numFmtId="9" fontId="20" fillId="8" borderId="3" xfId="0" applyNumberFormat="1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left" vertical="center"/>
    </xf>
    <xf numFmtId="0" fontId="0" fillId="0" borderId="3" xfId="0" applyBorder="1"/>
    <xf numFmtId="0" fontId="0" fillId="9" borderId="3" xfId="0" applyFill="1" applyBorder="1"/>
    <xf numFmtId="0" fontId="21" fillId="0" borderId="0" xfId="0" applyFont="1"/>
    <xf numFmtId="0" fontId="21" fillId="10" borderId="0" xfId="0" applyFont="1" applyFill="1"/>
    <xf numFmtId="0" fontId="22" fillId="9" borderId="0" xfId="0" applyFont="1" applyFill="1"/>
    <xf numFmtId="0" fontId="0" fillId="5" borderId="0" xfId="0" applyFill="1"/>
    <xf numFmtId="0" fontId="0" fillId="9" borderId="0" xfId="0" applyFill="1"/>
    <xf numFmtId="0" fontId="23" fillId="11" borderId="0" xfId="0" applyFont="1" applyFill="1"/>
    <xf numFmtId="178" fontId="21" fillId="10" borderId="2" xfId="0" applyNumberFormat="1" applyFont="1" applyFill="1" applyBorder="1" applyAlignment="1">
      <alignment horizontal="center" vertical="center" wrapText="1"/>
    </xf>
    <xf numFmtId="176" fontId="21" fillId="10" borderId="2" xfId="0" applyNumberFormat="1" applyFont="1" applyFill="1" applyBorder="1" applyAlignment="1">
      <alignment horizontal="center" vertical="center" wrapText="1"/>
    </xf>
    <xf numFmtId="178" fontId="21" fillId="10" borderId="2" xfId="0" applyNumberFormat="1" applyFont="1" applyFill="1" applyBorder="1"/>
    <xf numFmtId="0" fontId="24" fillId="0" borderId="2" xfId="1"/>
    <xf numFmtId="0" fontId="3" fillId="0" borderId="2" xfId="1" applyFont="1"/>
    <xf numFmtId="0" fontId="27" fillId="3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3" fontId="27" fillId="3" borderId="1" xfId="1" applyNumberFormat="1" applyFont="1" applyFill="1" applyBorder="1" applyAlignment="1">
      <alignment horizontal="center" vertical="center"/>
    </xf>
    <xf numFmtId="179" fontId="27" fillId="3" borderId="1" xfId="1" applyNumberFormat="1" applyFont="1" applyFill="1" applyBorder="1" applyAlignment="1">
      <alignment horizontal="center" vertical="center"/>
    </xf>
    <xf numFmtId="0" fontId="4" fillId="0" borderId="2" xfId="1" applyFont="1"/>
    <xf numFmtId="0" fontId="28" fillId="12" borderId="2" xfId="1" applyFont="1" applyFill="1"/>
    <xf numFmtId="176" fontId="28" fillId="12" borderId="1" xfId="1" applyNumberFormat="1" applyFont="1" applyFill="1" applyBorder="1"/>
    <xf numFmtId="0" fontId="29" fillId="0" borderId="2" xfId="1" applyFont="1"/>
    <xf numFmtId="179" fontId="24" fillId="0" borderId="1" xfId="1" applyNumberFormat="1" applyBorder="1"/>
    <xf numFmtId="179" fontId="7" fillId="2" borderId="1" xfId="1" applyNumberFormat="1" applyFont="1" applyFill="1" applyBorder="1" applyAlignment="1">
      <alignment horizontal="center" vertical="center" wrapText="1"/>
    </xf>
    <xf numFmtId="0" fontId="30" fillId="0" borderId="2" xfId="1" applyFont="1"/>
    <xf numFmtId="180" fontId="24" fillId="0" borderId="1" xfId="1" applyNumberFormat="1" applyBorder="1"/>
    <xf numFmtId="0" fontId="28" fillId="12" borderId="1" xfId="1" applyFont="1" applyFill="1" applyBorder="1"/>
    <xf numFmtId="176" fontId="27" fillId="12" borderId="1" xfId="1" applyNumberFormat="1" applyFont="1" applyFill="1" applyBorder="1" applyAlignment="1">
      <alignment horizontal="center" vertical="center"/>
    </xf>
    <xf numFmtId="181" fontId="28" fillId="12" borderId="1" xfId="1" applyNumberFormat="1" applyFont="1" applyFill="1" applyBorder="1"/>
    <xf numFmtId="176" fontId="24" fillId="0" borderId="1" xfId="1" applyNumberFormat="1" applyBorder="1"/>
    <xf numFmtId="0" fontId="28" fillId="13" borderId="1" xfId="1" applyFont="1" applyFill="1" applyBorder="1"/>
    <xf numFmtId="176" fontId="27" fillId="13" borderId="1" xfId="1" applyNumberFormat="1" applyFont="1" applyFill="1" applyBorder="1" applyAlignment="1">
      <alignment horizontal="center" vertical="center"/>
    </xf>
    <xf numFmtId="181" fontId="28" fillId="13" borderId="1" xfId="1" applyNumberFormat="1" applyFont="1" applyFill="1" applyBorder="1"/>
    <xf numFmtId="182" fontId="24" fillId="0" borderId="1" xfId="1" applyNumberFormat="1" applyBorder="1"/>
    <xf numFmtId="0" fontId="28" fillId="14" borderId="1" xfId="1" applyFont="1" applyFill="1" applyBorder="1"/>
    <xf numFmtId="176" fontId="24" fillId="14" borderId="1" xfId="1" applyNumberFormat="1" applyFill="1" applyBorder="1"/>
    <xf numFmtId="181" fontId="28" fillId="14" borderId="1" xfId="1" applyNumberFormat="1" applyFont="1" applyFill="1" applyBorder="1"/>
    <xf numFmtId="0" fontId="28" fillId="13" borderId="2" xfId="1" applyFont="1" applyFill="1"/>
    <xf numFmtId="176" fontId="28" fillId="13" borderId="1" xfId="1" applyNumberFormat="1" applyFont="1" applyFill="1" applyBorder="1"/>
    <xf numFmtId="10" fontId="24" fillId="0" borderId="1" xfId="1" applyNumberFormat="1" applyBorder="1"/>
    <xf numFmtId="0" fontId="28" fillId="14" borderId="2" xfId="1" applyFont="1" applyFill="1"/>
    <xf numFmtId="176" fontId="28" fillId="14" borderId="1" xfId="1" applyNumberFormat="1" applyFont="1" applyFill="1" applyBorder="1"/>
    <xf numFmtId="0" fontId="36" fillId="15" borderId="4" xfId="2" applyFont="1" applyFill="1" applyBorder="1" applyAlignment="1">
      <alignment horizontal="center" vertical="center" wrapText="1"/>
    </xf>
    <xf numFmtId="0" fontId="37" fillId="0" borderId="4" xfId="2" applyFont="1" applyBorder="1" applyAlignment="1">
      <alignment vertical="center" wrapText="1"/>
    </xf>
    <xf numFmtId="180" fontId="37" fillId="0" borderId="4" xfId="2" applyNumberFormat="1" applyFont="1" applyBorder="1" applyAlignment="1">
      <alignment vertical="center" wrapText="1"/>
    </xf>
    <xf numFmtId="183" fontId="37" fillId="0" borderId="4" xfId="2" applyNumberFormat="1" applyFont="1" applyBorder="1" applyAlignment="1">
      <alignment vertical="center" wrapText="1"/>
    </xf>
    <xf numFmtId="0" fontId="0" fillId="0" borderId="2" xfId="0" applyBorder="1"/>
    <xf numFmtId="0" fontId="35" fillId="0" borderId="2" xfId="3"/>
    <xf numFmtId="0" fontId="0" fillId="0" borderId="2" xfId="2" applyFont="1" applyAlignment="1">
      <alignment vertical="center"/>
    </xf>
    <xf numFmtId="176" fontId="37" fillId="0" borderId="4" xfId="2" applyNumberFormat="1" applyFont="1" applyBorder="1" applyAlignment="1">
      <alignment vertical="center" wrapText="1"/>
    </xf>
    <xf numFmtId="179" fontId="27" fillId="3" borderId="2" xfId="1" applyNumberFormat="1" applyFont="1" applyFill="1" applyAlignment="1">
      <alignment horizontal="center" vertical="center"/>
    </xf>
    <xf numFmtId="0" fontId="33" fillId="0" borderId="2" xfId="1" applyFont="1"/>
    <xf numFmtId="0" fontId="1" fillId="0" borderId="2" xfId="1" applyFont="1"/>
    <xf numFmtId="0" fontId="5" fillId="0" borderId="2" xfId="1" applyFont="1"/>
    <xf numFmtId="0" fontId="25" fillId="4" borderId="2" xfId="1" applyFont="1" applyFill="1"/>
    <xf numFmtId="0" fontId="13" fillId="0" borderId="0" xfId="0" applyFont="1"/>
    <xf numFmtId="0" fontId="0" fillId="0" borderId="0" xfId="0"/>
    <xf numFmtId="0" fontId="15" fillId="4" borderId="0" xfId="0" applyFont="1" applyFill="1" applyAlignment="1">
      <alignment horizontal="left" vertical="center"/>
    </xf>
    <xf numFmtId="0" fontId="17" fillId="6" borderId="0" xfId="0" applyFont="1" applyFill="1" applyAlignment="1">
      <alignment vertical="center" wrapText="1"/>
    </xf>
    <xf numFmtId="0" fontId="14" fillId="0" borderId="0" xfId="0" applyFont="1"/>
    <xf numFmtId="0" fontId="1" fillId="0" borderId="0" xfId="0" applyFont="1"/>
    <xf numFmtId="0" fontId="4" fillId="0" borderId="0" xfId="0" applyFont="1"/>
    <xf numFmtId="0" fontId="19" fillId="7" borderId="2" xfId="0" applyFont="1" applyFill="1" applyBorder="1" applyAlignment="1">
      <alignment vertical="center"/>
    </xf>
    <xf numFmtId="0" fontId="19" fillId="7" borderId="0" xfId="0" applyFont="1" applyFill="1" applyAlignment="1">
      <alignment vertical="center"/>
    </xf>
    <xf numFmtId="0" fontId="38" fillId="16" borderId="2" xfId="2" applyFont="1" applyFill="1" applyAlignment="1">
      <alignment horizontal="center" vertical="center"/>
    </xf>
    <xf numFmtId="0" fontId="39" fillId="17" borderId="2" xfId="2" applyFont="1" applyFill="1" applyAlignment="1">
      <alignment horizontal="left" vertical="center" wrapText="1"/>
    </xf>
    <xf numFmtId="0" fontId="35" fillId="0" borderId="5" xfId="3" applyBorder="1" applyAlignment="1">
      <alignment horizontal="center"/>
    </xf>
  </cellXfs>
  <cellStyles count="4">
    <cellStyle name="Normal" xfId="2" xr:uid="{E46D40EE-400B-4999-8318-237D5915D9C4}"/>
    <cellStyle name="常规" xfId="0" builtinId="0"/>
    <cellStyle name="常规 2" xfId="1" xr:uid="{46A44118-80EB-49B9-B46B-DA2F5EE8A2A4}"/>
    <cellStyle name="常规 3" xfId="3" xr:uid="{13439AFA-F1EC-4A01-B11D-2E8B1AF2B0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\Wischos%20trading%20website\&#20108;&#27425;&#24037;&#20316;&#25991;&#20214;\co-work\Wischos_&#25253;&#20215;&#35745;&#31639;&#22120;_2026.xlsx" TargetMode="External"/><Relationship Id="rId1" Type="http://schemas.openxmlformats.org/officeDocument/2006/relationships/externalLinkPath" Target="&#20108;&#27425;&#24037;&#20316;&#25991;&#20214;/co-work/Wischos_&#25253;&#20215;&#35745;&#31639;&#22120;_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⚙️ 配置"/>
      <sheetName val="💰 完整报价"/>
      <sheetName val="📦 单品成本"/>
      <sheetName val="🎁 套件FOB"/>
    </sheetNames>
    <sheetDataSet>
      <sheetData sheetId="0">
        <row r="6">
          <cell r="B6">
            <v>6.77</v>
          </cell>
        </row>
        <row r="7">
          <cell r="B7">
            <v>0.13</v>
          </cell>
        </row>
        <row r="8">
          <cell r="B8">
            <v>0.3</v>
          </cell>
        </row>
        <row r="9">
          <cell r="B9">
            <v>120</v>
          </cell>
        </row>
        <row r="10">
          <cell r="B10">
            <v>120</v>
          </cell>
        </row>
        <row r="11">
          <cell r="B11">
            <v>1E-3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⚙️ 配置"/>
      <sheetName val="💰 完整报价"/>
      <sheetName val="📦 单品成本"/>
      <sheetName val="🎁 套件FOB"/>
    </sheetNames>
    <sheetDataSet>
      <sheetData sheetId="0" refreshError="1">
        <row r="6">
          <cell r="B6">
            <v>6.77</v>
          </cell>
        </row>
      </sheetData>
      <sheetData sheetId="1" refreshError="1"/>
      <sheetData sheetId="2" refreshError="1"/>
      <sheetData sheetId="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BF9C18-9E03-4B84-A347-8528C00FBCE4}" name="FlexibleCartonTable" displayName="FlexibleCartonTable" ref="A4:L12">
  <autoFilter ref="A4:L12" xr:uid="{00000000-0009-0000-0100-000004000000}"/>
  <tableColumns count="12">
    <tableColumn id="1" xr3:uid="{9AC41498-C6D1-4EA7-BDD0-87A7E31BEB4F}" name="Set"/>
    <tableColumn id="2" xr3:uid="{623B151D-B0DC-4099-88DC-632C137975C0}" name="Gift box size mm"/>
    <tableColumn id="3" xr3:uid="{176B8B87-FD8C-452F-9567-78A86FA6FA86}" name="Packing layout"/>
    <tableColumn id="4" xr3:uid="{B790C237-53D3-43C0-BCEE-405F5DADE07A}" name="Sets/carton"/>
    <tableColumn id="5" xr3:uid="{2D8CA697-434C-4144-9ACF-BA4373CE7E37}" name="Carton size mm"/>
    <tableColumn id="6" xr3:uid="{AD2F74C4-67EE-4378-A569-01A60DB1A6D7}" name="CBM/carton"/>
    <tableColumn id="7" xr3:uid="{CD71DD0D-5967-486E-8FCB-392341A26E16}" name="Dim weight /5000 kg"/>
    <tableColumn id="8" xr3:uid="{CA8957E9-CE33-4586-8FEF-138BF962AE60}" name="Gross weight/carton"/>
    <tableColumn id="9" xr3:uid="{DBF8321F-1FF9-4635-9CD0-DFE2D527C3C1}" name="Carton min $"/>
    <tableColumn id="10" xr3:uid="{29E75C41-EA36-4A8C-A165-45C31C571A95}" name="Carton max $"/>
    <tableColumn id="11" xr3:uid="{1F98CA33-712F-458C-A363-5FE2F36DC6EE}" name="Carton cost/set min $"/>
    <tableColumn id="12" xr3:uid="{215FC481-37F8-407D-BC37-B24BF82F32E2}" name="Carton cost/set max $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84E600-1E7C-4BFD-A399-8B29F7A8D580}" name="FlexibleCartonTable3" displayName="FlexibleCartonTable3" ref="A16:L24">
  <autoFilter ref="A16:L24" xr:uid="{5E84E600-1E7C-4BFD-A399-8B29F7A8D580}"/>
  <tableColumns count="12">
    <tableColumn id="1" xr3:uid="{13679147-357E-433E-A86B-6B19CAD0E2B6}" name="Set"/>
    <tableColumn id="2" xr3:uid="{7A35EC32-8116-41CB-A075-93C7730D47ED}" name="Gift box size mm"/>
    <tableColumn id="3" xr3:uid="{5DF5E3B3-CD6F-4678-9CF6-AA50758B79AC}" name="Packing layout"/>
    <tableColumn id="4" xr3:uid="{82BC285B-6B34-4AC6-BBEE-6DE11F74C2EB}" name="Sets/carton"/>
    <tableColumn id="5" xr3:uid="{3B348128-7730-4499-8839-77817936C293}" name="Carton size mm"/>
    <tableColumn id="6" xr3:uid="{B92F6E1D-379E-4E80-9FE6-EA65049415A8}" name="CBM/carton"/>
    <tableColumn id="7" xr3:uid="{1C4E56D3-6860-4E6B-9AC2-E4E637D20764}" name="Dim weight /5000 kg"/>
    <tableColumn id="8" xr3:uid="{B300132B-CE26-4B0B-A005-0B802D9C4E04}" name="Gross weight/carton"/>
    <tableColumn id="9" xr3:uid="{6986A900-3E4B-43C8-87F7-9A73F6950F62}" name="Carton min $"/>
    <tableColumn id="10" xr3:uid="{77ECB908-0D98-41AA-A88A-9AE60F2E1CFA}" name="Carton max $"/>
    <tableColumn id="11" xr3:uid="{FAC14789-2FDC-475F-A67A-68D68AC1DA82}" name="Carton cost/set min $"/>
    <tableColumn id="12" xr3:uid="{E05522D5-E148-482A-8251-3C5DF761722E}" name="Carton cost/set max $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B1E16E3-01DF-48F5-B680-774060C6F1B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a40ee69-e9b0-4295-a7f5-8f8fb1f2b41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zoomScaleNormal="100" workbookViewId="0">
      <selection activeCell="B9" sqref="B9"/>
    </sheetView>
  </sheetViews>
  <sheetFormatPr defaultColWidth="8.6328125" defaultRowHeight="14.5"/>
  <cols>
    <col min="1" max="1" width="22" customWidth="1"/>
    <col min="2" max="2" width="32" customWidth="1"/>
    <col min="3" max="3" width="22" customWidth="1"/>
    <col min="4" max="4" width="16" customWidth="1"/>
    <col min="5" max="5" width="22" customWidth="1"/>
    <col min="6" max="6" width="14" customWidth="1"/>
  </cols>
  <sheetData>
    <row r="1" spans="1:6" ht="18" customHeight="1">
      <c r="A1" s="105" t="s">
        <v>0</v>
      </c>
      <c r="B1" s="106"/>
      <c r="C1" s="106"/>
      <c r="D1" s="106"/>
    </row>
    <row r="3" spans="1:6">
      <c r="A3" s="1" t="s">
        <v>1</v>
      </c>
      <c r="B3" s="109" t="s">
        <v>2</v>
      </c>
      <c r="C3" s="106"/>
      <c r="D3" s="106"/>
      <c r="E3" s="106"/>
      <c r="F3" s="106"/>
    </row>
    <row r="5" spans="1:6" ht="15.5" customHeight="1">
      <c r="A5" s="107" t="s">
        <v>3</v>
      </c>
      <c r="B5" s="106"/>
      <c r="C5" s="106"/>
      <c r="D5" s="106"/>
    </row>
    <row r="6" spans="1:6">
      <c r="A6" s="17" t="s">
        <v>4</v>
      </c>
      <c r="B6" s="4">
        <v>6.77</v>
      </c>
      <c r="C6" s="14" t="s">
        <v>5</v>
      </c>
    </row>
    <row r="7" spans="1:6">
      <c r="A7" s="17" t="s">
        <v>6</v>
      </c>
      <c r="B7" s="18">
        <v>0.13</v>
      </c>
      <c r="C7" s="13" t="s">
        <v>7</v>
      </c>
    </row>
    <row r="8" spans="1:6">
      <c r="A8" s="17" t="s">
        <v>8</v>
      </c>
      <c r="B8" s="18">
        <v>0.25</v>
      </c>
      <c r="C8" s="13" t="s">
        <v>9</v>
      </c>
    </row>
    <row r="9" spans="1:6">
      <c r="A9" s="1" t="s">
        <v>10</v>
      </c>
      <c r="B9" s="4">
        <v>120</v>
      </c>
      <c r="C9" s="14" t="s">
        <v>11</v>
      </c>
    </row>
    <row r="10" spans="1:6">
      <c r="A10" s="17" t="s">
        <v>12</v>
      </c>
      <c r="B10" s="4">
        <v>120</v>
      </c>
      <c r="C10" s="13" t="s">
        <v>13</v>
      </c>
    </row>
    <row r="11" spans="1:6">
      <c r="A11" s="1" t="s">
        <v>14</v>
      </c>
      <c r="B11" s="18">
        <v>1E-3</v>
      </c>
      <c r="C11" s="13" t="s">
        <v>15</v>
      </c>
    </row>
    <row r="12" spans="1:6">
      <c r="A12" s="17" t="s">
        <v>16</v>
      </c>
      <c r="B12" s="4">
        <v>200</v>
      </c>
      <c r="C12" s="13" t="s">
        <v>17</v>
      </c>
    </row>
    <row r="13" spans="1:6">
      <c r="A13" s="17" t="s">
        <v>18</v>
      </c>
      <c r="B13" s="4">
        <v>50</v>
      </c>
      <c r="C13" s="13" t="s">
        <v>19</v>
      </c>
    </row>
    <row r="14" spans="1:6" ht="35" customHeight="1">
      <c r="A14" s="108" t="s">
        <v>20</v>
      </c>
      <c r="B14" s="106"/>
      <c r="C14" s="106"/>
      <c r="D14" s="106"/>
      <c r="E14" s="106"/>
      <c r="F14" s="106"/>
    </row>
    <row r="16" spans="1:6" ht="15.5" customHeight="1">
      <c r="A16" s="107" t="s">
        <v>21</v>
      </c>
      <c r="B16" s="106"/>
      <c r="C16" s="106"/>
      <c r="D16" s="106"/>
      <c r="E16" s="106"/>
      <c r="F16" s="106"/>
    </row>
    <row r="17" spans="1:6" ht="29">
      <c r="A17" s="3" t="s">
        <v>22</v>
      </c>
      <c r="B17" s="3" t="s">
        <v>23</v>
      </c>
      <c r="C17" s="21" t="s">
        <v>24</v>
      </c>
      <c r="D17" s="3" t="s">
        <v>25</v>
      </c>
      <c r="E17" s="21" t="s">
        <v>26</v>
      </c>
      <c r="F17" s="2" t="s">
        <v>27</v>
      </c>
    </row>
    <row r="18" spans="1:6">
      <c r="A18" s="19" t="s">
        <v>28</v>
      </c>
      <c r="B18" t="s">
        <v>29</v>
      </c>
      <c r="C18" s="22">
        <v>280</v>
      </c>
      <c r="D18" s="20">
        <v>0</v>
      </c>
      <c r="E18" s="22">
        <v>100</v>
      </c>
      <c r="F18" s="20">
        <v>0.1</v>
      </c>
    </row>
    <row r="19" spans="1:6">
      <c r="A19" s="19" t="s">
        <v>30</v>
      </c>
      <c r="B19" t="s">
        <v>31</v>
      </c>
      <c r="C19" s="22">
        <v>282</v>
      </c>
      <c r="D19" s="20">
        <v>0</v>
      </c>
      <c r="E19" s="22">
        <v>96</v>
      </c>
      <c r="F19" s="20">
        <v>0.15</v>
      </c>
    </row>
    <row r="20" spans="1:6">
      <c r="A20" s="19" t="s">
        <v>32</v>
      </c>
      <c r="B20" t="s">
        <v>33</v>
      </c>
      <c r="C20" s="22">
        <v>200</v>
      </c>
      <c r="D20" s="20">
        <v>0</v>
      </c>
      <c r="E20" s="22">
        <v>60</v>
      </c>
      <c r="F20" s="20">
        <v>0.09</v>
      </c>
    </row>
    <row r="21" spans="1:6">
      <c r="A21" s="19" t="s">
        <v>34</v>
      </c>
      <c r="B21" t="s">
        <v>35</v>
      </c>
      <c r="C21" s="22">
        <v>250</v>
      </c>
      <c r="D21" s="20">
        <v>0.05</v>
      </c>
      <c r="E21" s="22">
        <v>80</v>
      </c>
      <c r="F21" s="20">
        <v>0.05</v>
      </c>
    </row>
    <row r="22" spans="1:6">
      <c r="A22" s="19" t="s">
        <v>36</v>
      </c>
      <c r="B22" t="s">
        <v>37</v>
      </c>
      <c r="C22" s="22">
        <v>180</v>
      </c>
      <c r="D22" s="20">
        <v>0</v>
      </c>
      <c r="E22" s="22">
        <v>50</v>
      </c>
      <c r="F22" s="20">
        <v>0</v>
      </c>
    </row>
    <row r="23" spans="1:6">
      <c r="A23" s="19" t="s">
        <v>38</v>
      </c>
      <c r="B23" t="s">
        <v>39</v>
      </c>
      <c r="C23" s="22">
        <v>320</v>
      </c>
      <c r="D23" s="20">
        <v>0</v>
      </c>
      <c r="E23" s="22">
        <v>130</v>
      </c>
      <c r="F23" s="20">
        <v>8.1000000000000003E-2</v>
      </c>
    </row>
    <row r="24" spans="1:6">
      <c r="A24" s="19" t="s">
        <v>40</v>
      </c>
      <c r="B24" t="s">
        <v>41</v>
      </c>
      <c r="C24" s="22">
        <v>300</v>
      </c>
      <c r="D24" s="20">
        <v>0.04</v>
      </c>
      <c r="E24" s="22">
        <v>110</v>
      </c>
      <c r="F24" s="20">
        <v>0.2</v>
      </c>
    </row>
    <row r="25" spans="1:6">
      <c r="A25" s="19" t="s">
        <v>42</v>
      </c>
      <c r="B25" t="s">
        <v>43</v>
      </c>
      <c r="C25" s="22">
        <v>260</v>
      </c>
      <c r="D25" s="20">
        <v>0.05</v>
      </c>
      <c r="E25" s="22">
        <v>90</v>
      </c>
      <c r="F25" s="20">
        <v>0.15</v>
      </c>
    </row>
  </sheetData>
  <mergeCells count="5">
    <mergeCell ref="A1:D1"/>
    <mergeCell ref="A16:F16"/>
    <mergeCell ref="A5:D5"/>
    <mergeCell ref="A14:F14"/>
    <mergeCell ref="B3:F3"/>
  </mergeCells>
  <phoneticPr fontId="2" type="noConversion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zoomScaleNormal="100" workbookViewId="0">
      <selection activeCell="E11" sqref="E11"/>
    </sheetView>
  </sheetViews>
  <sheetFormatPr defaultColWidth="8.6328125" defaultRowHeight="14.5"/>
  <cols>
    <col min="1" max="1" width="12" customWidth="1"/>
    <col min="2" max="2" width="36" customWidth="1"/>
    <col min="3" max="3" width="14" customWidth="1"/>
    <col min="4" max="4" width="9.08984375" customWidth="1"/>
    <col min="5" max="5" width="14" customWidth="1"/>
    <col min="6" max="6" width="12" customWidth="1"/>
    <col min="7" max="8" width="16" customWidth="1"/>
    <col min="9" max="9" width="24" customWidth="1"/>
  </cols>
  <sheetData>
    <row r="1" spans="1:9" ht="18" customHeight="1">
      <c r="A1" s="110" t="s">
        <v>44</v>
      </c>
      <c r="B1" s="106"/>
      <c r="C1" s="106"/>
      <c r="D1" s="106"/>
      <c r="E1" s="106"/>
      <c r="F1" s="106"/>
      <c r="G1" s="106"/>
      <c r="H1" s="106"/>
      <c r="I1" s="106"/>
    </row>
    <row r="2" spans="1:9" ht="15" customHeight="1">
      <c r="E2" s="16"/>
    </row>
    <row r="3" spans="1:9">
      <c r="A3" s="1" t="s">
        <v>1</v>
      </c>
      <c r="B3" s="111" t="s">
        <v>45</v>
      </c>
      <c r="C3" s="106"/>
      <c r="D3" s="106"/>
      <c r="E3" s="106"/>
      <c r="F3" s="106"/>
      <c r="G3" s="106"/>
      <c r="H3" s="106"/>
      <c r="I3" s="106"/>
    </row>
    <row r="5" spans="1:9" ht="26" customHeight="1">
      <c r="A5" s="2" t="s">
        <v>46</v>
      </c>
      <c r="B5" s="3" t="s">
        <v>47</v>
      </c>
      <c r="C5" s="8" t="s">
        <v>48</v>
      </c>
      <c r="D5" s="8" t="s">
        <v>49</v>
      </c>
      <c r="E5" s="8" t="s">
        <v>50</v>
      </c>
      <c r="F5" s="2" t="s">
        <v>51</v>
      </c>
      <c r="G5" s="2" t="s">
        <v>52</v>
      </c>
      <c r="H5" s="3" t="s">
        <v>53</v>
      </c>
      <c r="I5" s="3" t="s">
        <v>54</v>
      </c>
    </row>
    <row r="6" spans="1:9">
      <c r="A6" s="10" t="s">
        <v>55</v>
      </c>
      <c r="B6" s="10" t="s">
        <v>56</v>
      </c>
      <c r="C6" s="5">
        <v>29</v>
      </c>
      <c r="D6" s="9">
        <v>0.1</v>
      </c>
      <c r="E6" s="4">
        <f t="shared" ref="E6:E37" si="0">C6*(1+D6)</f>
        <v>31.900000000000002</v>
      </c>
      <c r="F6" s="5">
        <f>E6/'⚙️ 配置'!EXRATE</f>
        <v>4.7119645494830138</v>
      </c>
      <c r="G6" s="6">
        <v>0.3</v>
      </c>
      <c r="H6" s="7">
        <f t="shared" ref="H6:H37" si="1">F6+G6</f>
        <v>5.0119645494830136</v>
      </c>
      <c r="I6" s="11" t="s">
        <v>57</v>
      </c>
    </row>
    <row r="7" spans="1:9">
      <c r="A7" s="10" t="s">
        <v>58</v>
      </c>
      <c r="B7" s="10" t="s">
        <v>59</v>
      </c>
      <c r="C7" s="5">
        <v>11</v>
      </c>
      <c r="D7" s="9">
        <v>0.1</v>
      </c>
      <c r="E7" s="4">
        <f t="shared" si="0"/>
        <v>12.100000000000001</v>
      </c>
      <c r="F7" s="5">
        <f>E7/'⚙️ 配置'!EXRATE</f>
        <v>1.7872968980797639</v>
      </c>
      <c r="G7" s="6">
        <v>0.3</v>
      </c>
      <c r="H7" s="7">
        <f t="shared" si="1"/>
        <v>2.0872968980797637</v>
      </c>
      <c r="I7" s="11" t="s">
        <v>60</v>
      </c>
    </row>
    <row r="8" spans="1:9">
      <c r="A8" s="10" t="s">
        <v>61</v>
      </c>
      <c r="B8" s="10" t="s">
        <v>62</v>
      </c>
      <c r="C8" s="5">
        <v>33</v>
      </c>
      <c r="D8" s="9">
        <v>0.1</v>
      </c>
      <c r="E8" s="4">
        <f t="shared" si="0"/>
        <v>36.300000000000004</v>
      </c>
      <c r="F8" s="5">
        <f>E8/'⚙️ 配置'!EXRATE</f>
        <v>5.3618906942392917</v>
      </c>
      <c r="G8" s="6">
        <v>0.4</v>
      </c>
      <c r="H8" s="7">
        <f t="shared" si="1"/>
        <v>5.761890694239292</v>
      </c>
      <c r="I8" s="12" t="s">
        <v>63</v>
      </c>
    </row>
    <row r="9" spans="1:9">
      <c r="A9" s="10" t="s">
        <v>64</v>
      </c>
      <c r="B9" s="10" t="s">
        <v>65</v>
      </c>
      <c r="C9" s="5">
        <v>8</v>
      </c>
      <c r="D9" s="9">
        <v>0.1</v>
      </c>
      <c r="E9" s="4">
        <f t="shared" si="0"/>
        <v>8.8000000000000007</v>
      </c>
      <c r="F9" s="5">
        <f>E9/'⚙️ 配置'!EXRATE</f>
        <v>1.2998522895125555</v>
      </c>
      <c r="G9" s="6">
        <v>0.3</v>
      </c>
      <c r="H9" s="7">
        <f t="shared" si="1"/>
        <v>1.5998522895125555</v>
      </c>
      <c r="I9" s="11" t="s">
        <v>66</v>
      </c>
    </row>
    <row r="10" spans="1:9">
      <c r="A10" s="10" t="s">
        <v>67</v>
      </c>
      <c r="B10" s="10" t="s">
        <v>68</v>
      </c>
      <c r="C10" s="5">
        <v>10</v>
      </c>
      <c r="D10" s="9">
        <v>0.1</v>
      </c>
      <c r="E10" s="4">
        <f t="shared" si="0"/>
        <v>11</v>
      </c>
      <c r="F10" s="5">
        <f>E10/'⚙️ 配置'!EXRATE</f>
        <v>1.6248153618906944</v>
      </c>
      <c r="G10" s="6">
        <v>0.3</v>
      </c>
      <c r="H10" s="7">
        <f t="shared" si="1"/>
        <v>1.9248153618906945</v>
      </c>
      <c r="I10" s="11" t="s">
        <v>69</v>
      </c>
    </row>
    <row r="11" spans="1:9">
      <c r="A11" s="10" t="s">
        <v>70</v>
      </c>
      <c r="B11" s="10" t="s">
        <v>71</v>
      </c>
      <c r="C11" s="5">
        <v>15</v>
      </c>
      <c r="D11" s="9">
        <v>0.1</v>
      </c>
      <c r="E11" s="4">
        <f t="shared" si="0"/>
        <v>16.5</v>
      </c>
      <c r="F11" s="5">
        <f>E11/'⚙️ 配置'!EXRATE</f>
        <v>2.4372230428360413</v>
      </c>
      <c r="G11" s="6">
        <v>0.3</v>
      </c>
      <c r="H11" s="7">
        <f t="shared" si="1"/>
        <v>2.7372230428360411</v>
      </c>
      <c r="I11" s="11" t="s">
        <v>72</v>
      </c>
    </row>
    <row r="12" spans="1:9">
      <c r="A12" s="10" t="s">
        <v>73</v>
      </c>
      <c r="B12" s="10" t="s">
        <v>74</v>
      </c>
      <c r="C12" s="5">
        <v>22</v>
      </c>
      <c r="D12" s="9">
        <v>0.1</v>
      </c>
      <c r="E12" s="4">
        <f t="shared" si="0"/>
        <v>24.200000000000003</v>
      </c>
      <c r="F12" s="5">
        <f>E12/'⚙️ 配置'!EXRATE</f>
        <v>3.5745937961595278</v>
      </c>
      <c r="G12" s="6">
        <v>0.3</v>
      </c>
      <c r="H12" s="7">
        <f t="shared" si="1"/>
        <v>3.8745937961595276</v>
      </c>
      <c r="I12" s="11" t="s">
        <v>57</v>
      </c>
    </row>
    <row r="13" spans="1:9">
      <c r="A13" s="10" t="s">
        <v>75</v>
      </c>
      <c r="B13" s="10" t="s">
        <v>76</v>
      </c>
      <c r="C13" s="5">
        <v>25</v>
      </c>
      <c r="D13" s="9">
        <v>0.1</v>
      </c>
      <c r="E13" s="4">
        <f t="shared" si="0"/>
        <v>27.500000000000004</v>
      </c>
      <c r="F13" s="5">
        <f>E13/'⚙️ 配置'!EXRATE</f>
        <v>4.0620384047267359</v>
      </c>
      <c r="G13" s="6">
        <v>0.3</v>
      </c>
      <c r="H13" s="7">
        <f t="shared" si="1"/>
        <v>4.3620384047267358</v>
      </c>
      <c r="I13" s="11" t="s">
        <v>57</v>
      </c>
    </row>
    <row r="14" spans="1:9">
      <c r="A14" s="10" t="s">
        <v>77</v>
      </c>
      <c r="B14" s="10" t="s">
        <v>78</v>
      </c>
      <c r="C14" s="5">
        <v>25</v>
      </c>
      <c r="D14" s="9">
        <v>0.1</v>
      </c>
      <c r="E14" s="4">
        <f t="shared" si="0"/>
        <v>27.500000000000004</v>
      </c>
      <c r="F14" s="5">
        <f>E14/'⚙️ 配置'!EXRATE</f>
        <v>4.0620384047267359</v>
      </c>
      <c r="G14" s="6">
        <v>0.3</v>
      </c>
      <c r="H14" s="7">
        <f t="shared" si="1"/>
        <v>4.3620384047267358</v>
      </c>
      <c r="I14" s="12" t="s">
        <v>79</v>
      </c>
    </row>
    <row r="15" spans="1:9">
      <c r="A15" s="10" t="s">
        <v>80</v>
      </c>
      <c r="B15" s="10" t="s">
        <v>81</v>
      </c>
      <c r="C15" s="5">
        <v>22</v>
      </c>
      <c r="D15" s="9">
        <v>0.1</v>
      </c>
      <c r="E15" s="4">
        <f t="shared" si="0"/>
        <v>24.200000000000003</v>
      </c>
      <c r="F15" s="5">
        <f>E15/'⚙️ 配置'!EXRATE</f>
        <v>3.5745937961595278</v>
      </c>
      <c r="G15" s="6">
        <v>0.3</v>
      </c>
      <c r="H15" s="7">
        <f t="shared" si="1"/>
        <v>3.8745937961595276</v>
      </c>
      <c r="I15" s="12" t="s">
        <v>82</v>
      </c>
    </row>
    <row r="16" spans="1:9">
      <c r="A16" s="10" t="s">
        <v>83</v>
      </c>
      <c r="B16" s="10" t="s">
        <v>84</v>
      </c>
      <c r="C16" s="5">
        <v>12</v>
      </c>
      <c r="D16" s="9">
        <v>0.1</v>
      </c>
      <c r="E16" s="4">
        <f t="shared" si="0"/>
        <v>13.200000000000001</v>
      </c>
      <c r="F16" s="5">
        <f>E16/'⚙️ 配置'!EXRATE</f>
        <v>1.9497784342688333</v>
      </c>
      <c r="G16" s="6">
        <v>0.3</v>
      </c>
      <c r="H16" s="7">
        <f t="shared" si="1"/>
        <v>2.2497784342688334</v>
      </c>
      <c r="I16" s="11" t="s">
        <v>85</v>
      </c>
    </row>
    <row r="17" spans="1:9">
      <c r="A17" s="10" t="s">
        <v>86</v>
      </c>
      <c r="B17" s="10" t="s">
        <v>87</v>
      </c>
      <c r="C17" s="5">
        <v>26</v>
      </c>
      <c r="D17" s="9">
        <v>0.1</v>
      </c>
      <c r="E17" s="4">
        <f t="shared" si="0"/>
        <v>28.6</v>
      </c>
      <c r="F17" s="5">
        <f>E17/'⚙️ 配置'!EXRATE</f>
        <v>4.2245199409158056</v>
      </c>
      <c r="G17" s="6">
        <v>0.4</v>
      </c>
      <c r="H17" s="7">
        <f t="shared" si="1"/>
        <v>4.624519940915806</v>
      </c>
      <c r="I17" s="11" t="s">
        <v>88</v>
      </c>
    </row>
    <row r="18" spans="1:9">
      <c r="A18" s="10" t="s">
        <v>89</v>
      </c>
      <c r="B18" s="10" t="s">
        <v>90</v>
      </c>
      <c r="C18" s="5">
        <v>5</v>
      </c>
      <c r="D18" s="9">
        <v>0.1</v>
      </c>
      <c r="E18" s="4">
        <f t="shared" si="0"/>
        <v>5.5</v>
      </c>
      <c r="F18" s="5">
        <f>E18/'⚙️ 配置'!EXRATE</f>
        <v>0.81240768094534721</v>
      </c>
      <c r="G18" s="6">
        <v>0.3</v>
      </c>
      <c r="H18" s="7">
        <f t="shared" si="1"/>
        <v>1.1124076809453471</v>
      </c>
      <c r="I18" s="11" t="s">
        <v>91</v>
      </c>
    </row>
    <row r="19" spans="1:9">
      <c r="A19" s="10" t="s">
        <v>92</v>
      </c>
      <c r="B19" s="10" t="s">
        <v>93</v>
      </c>
      <c r="C19" s="5">
        <v>10.3</v>
      </c>
      <c r="D19" s="9">
        <v>0.1</v>
      </c>
      <c r="E19" s="4">
        <f t="shared" si="0"/>
        <v>11.330000000000002</v>
      </c>
      <c r="F19" s="5">
        <f>E19/'⚙️ 配置'!EXRATE</f>
        <v>1.6735598227474155</v>
      </c>
      <c r="G19" s="6">
        <v>0.3</v>
      </c>
      <c r="H19" s="7">
        <f t="shared" si="1"/>
        <v>1.9735598227474156</v>
      </c>
      <c r="I19" s="11" t="s">
        <v>94</v>
      </c>
    </row>
    <row r="20" spans="1:9">
      <c r="A20" s="10" t="s">
        <v>95</v>
      </c>
      <c r="B20" s="10" t="s">
        <v>96</v>
      </c>
      <c r="C20" s="5">
        <v>13</v>
      </c>
      <c r="D20" s="9">
        <v>0.1</v>
      </c>
      <c r="E20" s="4">
        <f t="shared" si="0"/>
        <v>14.3</v>
      </c>
      <c r="F20" s="5">
        <f>E20/'⚙️ 配置'!EXRATE</f>
        <v>2.1122599704579028</v>
      </c>
      <c r="G20" s="6">
        <v>0.3</v>
      </c>
      <c r="H20" s="7">
        <f t="shared" si="1"/>
        <v>2.4122599704579026</v>
      </c>
      <c r="I20" s="11" t="s">
        <v>97</v>
      </c>
    </row>
    <row r="21" spans="1:9">
      <c r="A21" s="10" t="s">
        <v>98</v>
      </c>
      <c r="B21" s="10" t="s">
        <v>99</v>
      </c>
      <c r="C21" s="5">
        <v>27</v>
      </c>
      <c r="D21" s="9">
        <v>0.1</v>
      </c>
      <c r="E21" s="4">
        <f t="shared" si="0"/>
        <v>29.700000000000003</v>
      </c>
      <c r="F21" s="5">
        <f>E21/'⚙️ 配置'!EXRATE</f>
        <v>4.3870014771048753</v>
      </c>
      <c r="G21" s="6">
        <v>0.4</v>
      </c>
      <c r="H21" s="7">
        <f t="shared" si="1"/>
        <v>4.7870014771048757</v>
      </c>
      <c r="I21" s="12" t="s">
        <v>100</v>
      </c>
    </row>
    <row r="22" spans="1:9">
      <c r="A22" s="10" t="s">
        <v>101</v>
      </c>
      <c r="B22" s="10" t="s">
        <v>102</v>
      </c>
      <c r="C22" s="5">
        <v>25</v>
      </c>
      <c r="D22" s="9">
        <v>0.1</v>
      </c>
      <c r="E22" s="4">
        <f t="shared" si="0"/>
        <v>27.500000000000004</v>
      </c>
      <c r="F22" s="5">
        <f>E22/'⚙️ 配置'!EXRATE</f>
        <v>4.0620384047267359</v>
      </c>
      <c r="G22" s="6">
        <v>0.3</v>
      </c>
      <c r="H22" s="7">
        <f t="shared" si="1"/>
        <v>4.3620384047267358</v>
      </c>
      <c r="I22" s="11" t="s">
        <v>103</v>
      </c>
    </row>
    <row r="23" spans="1:9">
      <c r="A23" s="10" t="s">
        <v>104</v>
      </c>
      <c r="B23" s="10" t="s">
        <v>105</v>
      </c>
      <c r="C23" s="5">
        <v>3.2</v>
      </c>
      <c r="D23" s="9">
        <v>0.1</v>
      </c>
      <c r="E23" s="4">
        <f t="shared" si="0"/>
        <v>3.5200000000000005</v>
      </c>
      <c r="F23" s="5">
        <f>E23/'⚙️ 配置'!EXRATE</f>
        <v>0.51994091580502222</v>
      </c>
      <c r="G23" s="6">
        <v>0.3</v>
      </c>
      <c r="H23" s="7">
        <f t="shared" si="1"/>
        <v>0.81994091580502215</v>
      </c>
      <c r="I23" s="11" t="s">
        <v>106</v>
      </c>
    </row>
    <row r="24" spans="1:9">
      <c r="A24" s="10" t="s">
        <v>107</v>
      </c>
      <c r="B24" s="10" t="s">
        <v>108</v>
      </c>
      <c r="C24" s="5">
        <v>3</v>
      </c>
      <c r="D24" s="9">
        <v>0.1</v>
      </c>
      <c r="E24" s="4">
        <f t="shared" si="0"/>
        <v>3.3000000000000003</v>
      </c>
      <c r="F24" s="5">
        <f>E24/'⚙️ 配置'!EXRATE</f>
        <v>0.48744460856720834</v>
      </c>
      <c r="G24" s="6">
        <v>0.3</v>
      </c>
      <c r="H24" s="7">
        <f t="shared" si="1"/>
        <v>0.78744460856720833</v>
      </c>
      <c r="I24" s="11" t="s">
        <v>109</v>
      </c>
    </row>
    <row r="25" spans="1:9">
      <c r="A25" s="10" t="s">
        <v>110</v>
      </c>
      <c r="B25" s="10" t="s">
        <v>111</v>
      </c>
      <c r="C25" s="5">
        <v>25</v>
      </c>
      <c r="D25" s="9">
        <v>0.1</v>
      </c>
      <c r="E25" s="4">
        <f t="shared" si="0"/>
        <v>27.500000000000004</v>
      </c>
      <c r="F25" s="5">
        <f>E25/'⚙️ 配置'!EXRATE</f>
        <v>4.0620384047267359</v>
      </c>
      <c r="G25" s="6">
        <v>0.3</v>
      </c>
      <c r="H25" s="7">
        <f t="shared" si="1"/>
        <v>4.3620384047267358</v>
      </c>
      <c r="I25" s="11" t="s">
        <v>112</v>
      </c>
    </row>
    <row r="26" spans="1:9">
      <c r="A26" s="10" t="s">
        <v>113</v>
      </c>
      <c r="B26" s="10" t="s">
        <v>114</v>
      </c>
      <c r="C26" s="5">
        <v>20</v>
      </c>
      <c r="D26" s="9">
        <v>0.1</v>
      </c>
      <c r="E26" s="4">
        <f t="shared" si="0"/>
        <v>22</v>
      </c>
      <c r="F26" s="5">
        <f>E26/'⚙️ 配置'!EXRATE</f>
        <v>3.2496307237813888</v>
      </c>
      <c r="G26" s="6">
        <v>0.3</v>
      </c>
      <c r="H26" s="7">
        <f t="shared" si="1"/>
        <v>3.5496307237813887</v>
      </c>
      <c r="I26" s="11" t="s">
        <v>115</v>
      </c>
    </row>
    <row r="27" spans="1:9">
      <c r="A27" s="10" t="s">
        <v>116</v>
      </c>
      <c r="B27" s="10" t="s">
        <v>117</v>
      </c>
      <c r="C27" s="5">
        <v>11</v>
      </c>
      <c r="D27" s="9">
        <v>0.1</v>
      </c>
      <c r="E27" s="4">
        <f t="shared" si="0"/>
        <v>12.100000000000001</v>
      </c>
      <c r="F27" s="5">
        <f>E27/'⚙️ 配置'!EXRATE</f>
        <v>1.7872968980797639</v>
      </c>
      <c r="G27" s="6">
        <v>0.3</v>
      </c>
      <c r="H27" s="7">
        <f t="shared" si="1"/>
        <v>2.0872968980797637</v>
      </c>
      <c r="I27" s="12" t="s">
        <v>118</v>
      </c>
    </row>
    <row r="28" spans="1:9">
      <c r="A28" s="10" t="s">
        <v>119</v>
      </c>
      <c r="B28" s="10" t="s">
        <v>120</v>
      </c>
      <c r="C28" s="5">
        <v>20</v>
      </c>
      <c r="D28" s="9">
        <v>0.1</v>
      </c>
      <c r="E28" s="4">
        <f t="shared" si="0"/>
        <v>22</v>
      </c>
      <c r="F28" s="5">
        <f>E28/'⚙️ 配置'!EXRATE</f>
        <v>3.2496307237813888</v>
      </c>
      <c r="G28" s="6">
        <v>0.4</v>
      </c>
      <c r="H28" s="7">
        <f t="shared" si="1"/>
        <v>3.6496307237813888</v>
      </c>
      <c r="I28" s="11" t="s">
        <v>121</v>
      </c>
    </row>
    <row r="29" spans="1:9">
      <c r="A29" s="10" t="s">
        <v>122</v>
      </c>
      <c r="B29" s="10" t="s">
        <v>123</v>
      </c>
      <c r="C29" s="5">
        <v>7.5</v>
      </c>
      <c r="D29" s="9">
        <v>0.1</v>
      </c>
      <c r="E29" s="4">
        <f t="shared" si="0"/>
        <v>8.25</v>
      </c>
      <c r="F29" s="5">
        <f>E29/'⚙️ 配置'!EXRATE</f>
        <v>1.2186115214180206</v>
      </c>
      <c r="G29" s="6">
        <v>0.4</v>
      </c>
      <c r="H29" s="7">
        <f t="shared" si="1"/>
        <v>1.6186115214180208</v>
      </c>
      <c r="I29" s="11" t="s">
        <v>124</v>
      </c>
    </row>
    <row r="30" spans="1:9">
      <c r="A30" s="10" t="s">
        <v>125</v>
      </c>
      <c r="B30" s="10" t="s">
        <v>126</v>
      </c>
      <c r="C30" s="5">
        <v>37</v>
      </c>
      <c r="D30" s="9">
        <v>0.1</v>
      </c>
      <c r="E30" s="4">
        <f t="shared" si="0"/>
        <v>40.700000000000003</v>
      </c>
      <c r="F30" s="5">
        <f>E30/'⚙️ 配置'!EXRATE</f>
        <v>6.0118168389955695</v>
      </c>
      <c r="G30" s="6">
        <v>0.5</v>
      </c>
      <c r="H30" s="7">
        <f t="shared" si="1"/>
        <v>6.5118168389955695</v>
      </c>
      <c r="I30" s="11" t="s">
        <v>127</v>
      </c>
    </row>
    <row r="31" spans="1:9">
      <c r="A31" s="10" t="s">
        <v>128</v>
      </c>
      <c r="B31" s="10" t="s">
        <v>129</v>
      </c>
      <c r="C31" s="5">
        <v>41</v>
      </c>
      <c r="D31" s="9">
        <v>0.1</v>
      </c>
      <c r="E31" s="4">
        <f t="shared" si="0"/>
        <v>45.1</v>
      </c>
      <c r="F31" s="5">
        <f>E31/'⚙️ 配置'!EXRATE</f>
        <v>6.6617429837518474</v>
      </c>
      <c r="G31" s="6">
        <v>0.4</v>
      </c>
      <c r="H31" s="7">
        <f t="shared" si="1"/>
        <v>7.0617429837518477</v>
      </c>
      <c r="I31" s="11" t="s">
        <v>130</v>
      </c>
    </row>
    <row r="32" spans="1:9">
      <c r="A32" s="10" t="s">
        <v>131</v>
      </c>
      <c r="B32" s="10" t="s">
        <v>132</v>
      </c>
      <c r="C32" s="5">
        <v>8</v>
      </c>
      <c r="D32" s="9">
        <v>0.1</v>
      </c>
      <c r="E32" s="4">
        <f t="shared" si="0"/>
        <v>8.8000000000000007</v>
      </c>
      <c r="F32" s="5">
        <f>E32/'⚙️ 配置'!EXRATE</f>
        <v>1.2998522895125555</v>
      </c>
      <c r="G32" s="6">
        <v>0.4</v>
      </c>
      <c r="H32" s="7">
        <f t="shared" si="1"/>
        <v>1.6998522895125556</v>
      </c>
      <c r="I32" s="11" t="s">
        <v>133</v>
      </c>
    </row>
    <row r="33" spans="1:9">
      <c r="A33" s="10" t="s">
        <v>134</v>
      </c>
      <c r="B33" s="10" t="s">
        <v>135</v>
      </c>
      <c r="C33" s="5">
        <v>8.8000000000000007</v>
      </c>
      <c r="D33" s="9">
        <v>0.1</v>
      </c>
      <c r="E33" s="4">
        <f t="shared" si="0"/>
        <v>9.6800000000000015</v>
      </c>
      <c r="F33" s="5">
        <f>E33/'⚙️ 配置'!EXRATE</f>
        <v>1.4298375184638112</v>
      </c>
      <c r="G33" s="6">
        <v>0.4</v>
      </c>
      <c r="H33" s="7">
        <f t="shared" si="1"/>
        <v>1.8298375184638114</v>
      </c>
      <c r="I33" s="11" t="s">
        <v>136</v>
      </c>
    </row>
    <row r="34" spans="1:9">
      <c r="A34" s="10" t="s">
        <v>137</v>
      </c>
      <c r="B34" s="10" t="s">
        <v>138</v>
      </c>
      <c r="C34" s="5">
        <v>35</v>
      </c>
      <c r="D34" s="9">
        <v>0.1</v>
      </c>
      <c r="E34" s="4">
        <f t="shared" si="0"/>
        <v>38.5</v>
      </c>
      <c r="F34" s="5">
        <f>E34/'⚙️ 配置'!EXRATE</f>
        <v>5.6868537666174301</v>
      </c>
      <c r="G34" s="6">
        <v>0.4</v>
      </c>
      <c r="H34" s="7">
        <f t="shared" si="1"/>
        <v>6.0868537666174305</v>
      </c>
      <c r="I34" s="11"/>
    </row>
    <row r="35" spans="1:9">
      <c r="A35" s="10" t="s">
        <v>139</v>
      </c>
      <c r="B35" s="10" t="s">
        <v>140</v>
      </c>
      <c r="C35" s="5">
        <v>30</v>
      </c>
      <c r="D35" s="9">
        <v>0.1</v>
      </c>
      <c r="E35" s="4">
        <f t="shared" si="0"/>
        <v>33</v>
      </c>
      <c r="F35" s="5">
        <f>E35/'⚙️ 配置'!EXRATE</f>
        <v>4.8744460856720826</v>
      </c>
      <c r="G35" s="6">
        <v>0.4</v>
      </c>
      <c r="H35" s="7">
        <f t="shared" si="1"/>
        <v>5.274446085672083</v>
      </c>
      <c r="I35" s="11" t="s">
        <v>141</v>
      </c>
    </row>
    <row r="36" spans="1:9">
      <c r="A36" s="10" t="s">
        <v>142</v>
      </c>
      <c r="B36" s="10" t="s">
        <v>143</v>
      </c>
      <c r="C36" s="5">
        <v>6.5</v>
      </c>
      <c r="D36" s="9">
        <v>0.1</v>
      </c>
      <c r="E36" s="4">
        <f t="shared" si="0"/>
        <v>7.15</v>
      </c>
      <c r="F36" s="5">
        <f>E36/'⚙️ 配置'!EXRATE</f>
        <v>1.0561299852289514</v>
      </c>
      <c r="G36" s="6">
        <v>0.4</v>
      </c>
      <c r="H36" s="7">
        <f t="shared" si="1"/>
        <v>1.4561299852289515</v>
      </c>
      <c r="I36" s="11" t="s">
        <v>144</v>
      </c>
    </row>
    <row r="37" spans="1:9">
      <c r="A37" s="10" t="s">
        <v>145</v>
      </c>
      <c r="B37" s="10" t="s">
        <v>146</v>
      </c>
      <c r="C37" s="5">
        <v>57</v>
      </c>
      <c r="D37" s="9">
        <v>0.1</v>
      </c>
      <c r="E37" s="4">
        <f t="shared" si="0"/>
        <v>62.7</v>
      </c>
      <c r="F37" s="5">
        <f>E37/'⚙️ 配置'!EXRATE</f>
        <v>9.2614475627769579</v>
      </c>
      <c r="G37" s="6">
        <v>0.5</v>
      </c>
      <c r="H37" s="7">
        <f t="shared" si="1"/>
        <v>9.7614475627769579</v>
      </c>
      <c r="I37" s="11" t="s">
        <v>147</v>
      </c>
    </row>
  </sheetData>
  <mergeCells count="2">
    <mergeCell ref="A1:I1"/>
    <mergeCell ref="B3:I3"/>
  </mergeCells>
  <phoneticPr fontId="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32"/>
  <sheetViews>
    <sheetView topLeftCell="B2" zoomScaleNormal="100" workbookViewId="0">
      <selection activeCell="J9" sqref="J9"/>
    </sheetView>
  </sheetViews>
  <sheetFormatPr defaultColWidth="8.6328125" defaultRowHeight="14.5"/>
  <cols>
    <col min="1" max="1" width="12" customWidth="1"/>
    <col min="2" max="2" width="55" customWidth="1"/>
    <col min="3" max="3" width="22" customWidth="1"/>
    <col min="4" max="4" width="8" customWidth="1"/>
    <col min="5" max="5" width="15" customWidth="1"/>
    <col min="6" max="7" width="4" customWidth="1"/>
    <col min="9" max="11" width="8.6328125" customWidth="1"/>
  </cols>
  <sheetData>
    <row r="1" spans="1:15" ht="18" customHeight="1">
      <c r="A1" s="15" t="s">
        <v>148</v>
      </c>
    </row>
    <row r="2" spans="1:15" ht="50" customHeight="1">
      <c r="A2" s="108" t="s">
        <v>149</v>
      </c>
      <c r="B2" s="106"/>
      <c r="C2" s="106"/>
      <c r="D2" s="106"/>
      <c r="E2" s="106"/>
    </row>
    <row r="3" spans="1:15">
      <c r="A3" s="1" t="s">
        <v>1</v>
      </c>
      <c r="B3" s="13" t="s">
        <v>150</v>
      </c>
      <c r="G3" s="96"/>
      <c r="H3" s="96"/>
      <c r="I3" s="96"/>
      <c r="J3" s="96"/>
      <c r="K3" s="96"/>
      <c r="L3" s="96"/>
      <c r="M3" s="96"/>
      <c r="N3" s="96"/>
      <c r="O3" s="96"/>
    </row>
    <row r="4" spans="1:15">
      <c r="G4" s="96"/>
      <c r="H4" s="96"/>
      <c r="I4" s="96"/>
      <c r="J4" s="96"/>
      <c r="K4" s="96"/>
      <c r="L4" s="96"/>
      <c r="M4" s="96"/>
      <c r="N4" s="96"/>
      <c r="O4" s="96"/>
    </row>
    <row r="5" spans="1:15" ht="22" customHeight="1">
      <c r="A5" s="112" t="s">
        <v>151</v>
      </c>
      <c r="B5" s="106"/>
      <c r="C5" s="106"/>
      <c r="D5" s="106"/>
      <c r="E5" s="106"/>
      <c r="F5" s="23"/>
      <c r="G5" s="96"/>
      <c r="H5" s="96"/>
      <c r="I5" s="96"/>
      <c r="J5" s="96"/>
      <c r="K5" s="96"/>
      <c r="L5" s="96"/>
      <c r="M5" s="96"/>
      <c r="N5" s="96"/>
      <c r="O5" s="96"/>
    </row>
    <row r="6" spans="1:15" ht="29">
      <c r="A6" s="24" t="s">
        <v>46</v>
      </c>
      <c r="B6" s="24" t="s">
        <v>47</v>
      </c>
      <c r="C6" s="24" t="s">
        <v>152</v>
      </c>
      <c r="D6" s="24" t="s">
        <v>153</v>
      </c>
      <c r="E6" s="24" t="s">
        <v>154</v>
      </c>
      <c r="F6" s="25"/>
      <c r="G6" s="96"/>
      <c r="H6" s="96"/>
      <c r="I6" s="96"/>
      <c r="J6" s="96"/>
      <c r="K6" s="96"/>
      <c r="L6" s="96"/>
      <c r="M6" s="96"/>
      <c r="N6" s="96"/>
      <c r="O6" s="96"/>
    </row>
    <row r="7" spans="1:15">
      <c r="A7" s="26" t="s">
        <v>58</v>
      </c>
      <c r="B7" s="26" t="s">
        <v>155</v>
      </c>
      <c r="C7" s="27">
        <f>VLOOKUP(A7,'📦 单品成本'!$A$6:$H$50,8,FALSE())</f>
        <v>2.0872968980797637</v>
      </c>
      <c r="D7" s="28">
        <v>1</v>
      </c>
      <c r="E7" s="27">
        <f>C7*D7</f>
        <v>2.0872968980797637</v>
      </c>
      <c r="F7" s="23"/>
      <c r="G7" s="96"/>
      <c r="H7" s="96"/>
      <c r="I7" s="96"/>
      <c r="J7" s="96"/>
      <c r="K7" s="96"/>
      <c r="L7" s="96"/>
      <c r="M7" s="96"/>
      <c r="N7" s="96"/>
      <c r="O7" s="96"/>
    </row>
    <row r="8" spans="1:15">
      <c r="A8" s="26" t="s">
        <v>83</v>
      </c>
      <c r="B8" s="26" t="s">
        <v>156</v>
      </c>
      <c r="C8" s="27">
        <f>VLOOKUP(A8,'📦 单品成本'!$A$6:$H$50,8,FALSE())</f>
        <v>2.2497784342688334</v>
      </c>
      <c r="D8" s="28">
        <v>1</v>
      </c>
      <c r="E8" s="27">
        <f>C8*D8</f>
        <v>2.2497784342688334</v>
      </c>
      <c r="F8" s="23"/>
      <c r="G8" s="96"/>
      <c r="H8" s="96"/>
      <c r="I8" s="96"/>
      <c r="J8" s="96"/>
      <c r="K8" s="96"/>
      <c r="L8" s="96"/>
      <c r="M8" s="96"/>
      <c r="N8" s="96"/>
      <c r="O8" s="96"/>
    </row>
    <row r="9" spans="1:15">
      <c r="A9" s="26" t="s">
        <v>89</v>
      </c>
      <c r="B9" s="26" t="s">
        <v>157</v>
      </c>
      <c r="C9" s="27">
        <f>VLOOKUP(A9,'📦 单品成本'!$A$6:$H$50,8,FALSE())</f>
        <v>1.1124076809453471</v>
      </c>
      <c r="D9" s="28">
        <v>1</v>
      </c>
      <c r="E9" s="27">
        <f>C9*D9</f>
        <v>1.1124076809453471</v>
      </c>
      <c r="F9" s="23"/>
      <c r="G9" s="96"/>
      <c r="H9" s="96"/>
      <c r="I9" s="96"/>
      <c r="J9" s="96"/>
      <c r="K9" s="96"/>
      <c r="L9" s="96"/>
      <c r="M9" s="96"/>
      <c r="N9" s="96"/>
      <c r="O9" s="96"/>
    </row>
    <row r="10" spans="1:15">
      <c r="A10" s="23"/>
      <c r="B10" s="29" t="s">
        <v>158</v>
      </c>
      <c r="C10" s="23"/>
      <c r="D10" s="23"/>
      <c r="E10" s="30">
        <f>SUM(E7:E9)</f>
        <v>5.4494830132939445</v>
      </c>
      <c r="F10" s="23"/>
      <c r="G10" s="96"/>
      <c r="H10" s="96"/>
      <c r="I10" s="96"/>
      <c r="J10" s="96"/>
      <c r="K10" s="96"/>
      <c r="L10" s="96"/>
      <c r="M10" s="96"/>
      <c r="N10" s="96"/>
      <c r="O10" s="96"/>
    </row>
    <row r="11" spans="1:15">
      <c r="A11" s="23"/>
      <c r="B11" s="23" t="s">
        <v>159</v>
      </c>
      <c r="C11" s="23"/>
      <c r="D11" s="23"/>
      <c r="E11" s="31">
        <v>1.8</v>
      </c>
      <c r="F11" s="23"/>
      <c r="G11" s="96"/>
      <c r="H11" s="96"/>
      <c r="I11" s="96"/>
      <c r="J11" s="96"/>
      <c r="K11" s="96"/>
      <c r="L11" s="96"/>
      <c r="M11" s="96"/>
      <c r="N11" s="96"/>
      <c r="O11" s="96"/>
    </row>
    <row r="12" spans="1:15">
      <c r="A12" s="23"/>
      <c r="B12" s="23" t="s">
        <v>160</v>
      </c>
      <c r="C12" s="23"/>
      <c r="D12" s="23"/>
      <c r="E12" s="32">
        <v>0</v>
      </c>
      <c r="F12" s="23"/>
      <c r="G12" s="96"/>
      <c r="H12" s="96"/>
      <c r="I12" s="96"/>
      <c r="J12" s="96"/>
      <c r="K12" s="96"/>
      <c r="L12" s="96"/>
      <c r="M12" s="96"/>
      <c r="N12" s="96"/>
      <c r="O12" s="96"/>
    </row>
    <row r="13" spans="1:15">
      <c r="A13" s="23"/>
      <c r="B13" s="23" t="s">
        <v>161</v>
      </c>
      <c r="C13" s="23"/>
      <c r="D13" s="23"/>
      <c r="E13" s="32">
        <v>0</v>
      </c>
      <c r="F13" s="23"/>
      <c r="G13" s="96"/>
      <c r="H13" s="96"/>
      <c r="I13" s="96"/>
      <c r="J13" s="96"/>
      <c r="K13" s="96"/>
      <c r="L13" s="96"/>
      <c r="M13" s="96"/>
      <c r="N13" s="96"/>
      <c r="O13" s="96"/>
    </row>
    <row r="14" spans="1:15">
      <c r="A14" s="23"/>
      <c r="B14" s="23" t="s">
        <v>162</v>
      </c>
      <c r="C14" s="33"/>
      <c r="D14" s="23"/>
      <c r="E14" s="32">
        <v>0</v>
      </c>
      <c r="F14" s="23"/>
      <c r="G14" s="96"/>
      <c r="H14" s="96"/>
      <c r="I14" s="96"/>
      <c r="J14" s="96"/>
      <c r="K14" s="96"/>
      <c r="L14" s="96"/>
      <c r="M14" s="96"/>
      <c r="N14" s="96"/>
      <c r="O14" s="96"/>
    </row>
    <row r="15" spans="1:15">
      <c r="A15" s="23"/>
      <c r="B15" s="23" t="s">
        <v>163</v>
      </c>
      <c r="C15" s="23"/>
      <c r="D15" s="23"/>
      <c r="E15" s="32">
        <v>0</v>
      </c>
      <c r="F15" s="23"/>
      <c r="G15" s="96"/>
      <c r="H15" s="96"/>
      <c r="I15" s="96"/>
      <c r="J15" s="96"/>
      <c r="K15" s="96"/>
      <c r="L15" s="96"/>
      <c r="M15" s="96"/>
      <c r="N15" s="96"/>
      <c r="O15" s="96"/>
    </row>
    <row r="16" spans="1:15">
      <c r="A16" s="23"/>
      <c r="B16" s="23" t="s">
        <v>164</v>
      </c>
      <c r="C16" s="23"/>
      <c r="D16" s="23"/>
      <c r="E16" s="34">
        <v>1.3</v>
      </c>
      <c r="F16" s="23"/>
      <c r="G16" s="23"/>
    </row>
    <row r="17" spans="1:7">
      <c r="A17" s="35"/>
      <c r="B17" s="29" t="s">
        <v>165</v>
      </c>
      <c r="C17" s="23"/>
      <c r="D17" s="23"/>
      <c r="E17" s="60">
        <f>E10+E11+E12+E13+E14+E15+E16</f>
        <v>8.5494830132939441</v>
      </c>
      <c r="F17" s="23"/>
      <c r="G17" s="23"/>
    </row>
    <row r="18" spans="1:7">
      <c r="A18" s="25"/>
      <c r="B18" s="37" t="s">
        <v>166</v>
      </c>
      <c r="C18" s="25"/>
      <c r="D18" s="25"/>
      <c r="E18" s="58">
        <f>(E10+E11+E12+E13+E14+E15)*'⚙️ 配置'!MARKUP</f>
        <v>1.8123707533234861</v>
      </c>
      <c r="F18" s="25"/>
      <c r="G18" s="25"/>
    </row>
    <row r="19" spans="1:7" ht="16.5">
      <c r="A19" s="23"/>
      <c r="B19" s="39" t="s">
        <v>167</v>
      </c>
      <c r="C19" s="40"/>
      <c r="D19" s="41"/>
      <c r="E19" s="42">
        <f>E17+E18</f>
        <v>10.361853766617431</v>
      </c>
      <c r="F19" s="23"/>
      <c r="G19" s="23"/>
    </row>
    <row r="20" spans="1:7">
      <c r="A20" s="23"/>
      <c r="B20" s="23"/>
      <c r="C20" s="40"/>
      <c r="D20" s="41"/>
      <c r="E20" s="40"/>
      <c r="F20" s="23"/>
      <c r="G20" s="23"/>
    </row>
    <row r="21" spans="1:7" ht="22" customHeight="1">
      <c r="A21" s="112" t="s">
        <v>168</v>
      </c>
      <c r="B21" s="106"/>
      <c r="C21" s="106"/>
      <c r="D21" s="106"/>
      <c r="E21" s="106"/>
      <c r="F21" s="23"/>
      <c r="G21" s="23"/>
    </row>
    <row r="22" spans="1:7" ht="29">
      <c r="A22" s="24" t="s">
        <v>46</v>
      </c>
      <c r="B22" s="24" t="s">
        <v>47</v>
      </c>
      <c r="C22" s="24" t="s">
        <v>152</v>
      </c>
      <c r="D22" s="24" t="s">
        <v>153</v>
      </c>
      <c r="E22" s="43" t="s">
        <v>154</v>
      </c>
      <c r="F22" s="23"/>
      <c r="G22" s="23"/>
    </row>
    <row r="23" spans="1:7">
      <c r="A23" s="26" t="s">
        <v>55</v>
      </c>
      <c r="B23" s="26" t="s">
        <v>169</v>
      </c>
      <c r="C23" s="26">
        <f>VLOOKUP(A23,'📦 单品成本'!$A$6:$H$50,8,FALSE())</f>
        <v>5.0119645494830136</v>
      </c>
      <c r="D23" s="44">
        <v>1</v>
      </c>
      <c r="E23" s="27">
        <f>C23*D23</f>
        <v>5.0119645494830136</v>
      </c>
      <c r="F23" s="23"/>
      <c r="G23" s="23"/>
    </row>
    <row r="24" spans="1:7">
      <c r="A24" s="26" t="s">
        <v>86</v>
      </c>
      <c r="B24" s="26" t="s">
        <v>170</v>
      </c>
      <c r="C24" s="26">
        <f>VLOOKUP(A24,'📦 单品成本'!$A$6:$H$50,8,FALSE())</f>
        <v>4.624519940915806</v>
      </c>
      <c r="D24" s="44">
        <v>1</v>
      </c>
      <c r="E24" s="27">
        <f>C24*D24</f>
        <v>4.624519940915806</v>
      </c>
      <c r="F24" s="23"/>
      <c r="G24" s="23"/>
    </row>
    <row r="25" spans="1:7">
      <c r="A25" s="26" t="s">
        <v>98</v>
      </c>
      <c r="B25" s="26" t="s">
        <v>171</v>
      </c>
      <c r="C25" s="26">
        <f>VLOOKUP(A25,'📦 单品成本'!$A$6:$H$50,8,FALSE())</f>
        <v>4.7870014771048757</v>
      </c>
      <c r="D25" s="44">
        <v>1</v>
      </c>
      <c r="E25" s="27">
        <f>C25*D25</f>
        <v>4.7870014771048757</v>
      </c>
      <c r="F25" s="23"/>
      <c r="G25" s="23"/>
    </row>
    <row r="26" spans="1:7" ht="15" thickBot="1">
      <c r="A26" s="23"/>
      <c r="B26" s="29" t="s">
        <v>158</v>
      </c>
      <c r="C26" s="33"/>
      <c r="D26" s="23"/>
      <c r="E26" s="30">
        <f>SUM(E23:E25)</f>
        <v>14.423485967503694</v>
      </c>
      <c r="F26" s="23"/>
      <c r="G26" s="23"/>
    </row>
    <row r="27" spans="1:7" ht="15" thickBot="1">
      <c r="A27" s="23"/>
      <c r="B27" s="23" t="s">
        <v>172</v>
      </c>
      <c r="C27" s="23"/>
      <c r="D27" s="23"/>
      <c r="E27" s="31">
        <v>3.2</v>
      </c>
      <c r="F27" s="23"/>
      <c r="G27" s="23"/>
    </row>
    <row r="28" spans="1:7">
      <c r="A28" s="23"/>
      <c r="B28" s="23" t="s">
        <v>160</v>
      </c>
      <c r="C28" s="23"/>
      <c r="D28" s="23"/>
      <c r="E28" s="45">
        <v>0</v>
      </c>
      <c r="F28" s="23"/>
      <c r="G28" s="23"/>
    </row>
    <row r="29" spans="1:7">
      <c r="A29" s="35"/>
      <c r="B29" s="23" t="s">
        <v>161</v>
      </c>
      <c r="C29" s="23"/>
      <c r="D29" s="23"/>
      <c r="E29" s="45">
        <v>0</v>
      </c>
      <c r="F29" s="23"/>
      <c r="G29" s="23"/>
    </row>
    <row r="30" spans="1:7">
      <c r="A30" s="25"/>
      <c r="B30" s="25" t="s">
        <v>162</v>
      </c>
      <c r="C30" s="25"/>
      <c r="D30" s="25"/>
      <c r="E30" s="46">
        <v>0</v>
      </c>
      <c r="F30" s="25"/>
      <c r="G30" s="25"/>
    </row>
    <row r="31" spans="1:7">
      <c r="A31" s="23"/>
      <c r="B31" s="23" t="s">
        <v>163</v>
      </c>
      <c r="C31" s="40"/>
      <c r="D31" s="41"/>
      <c r="E31" s="32">
        <v>0</v>
      </c>
      <c r="F31" s="23"/>
      <c r="G31" s="23"/>
    </row>
    <row r="32" spans="1:7">
      <c r="A32" s="23"/>
      <c r="B32" s="23" t="s">
        <v>164</v>
      </c>
      <c r="C32" s="40"/>
      <c r="D32" s="41"/>
      <c r="E32" s="47">
        <v>1.3</v>
      </c>
      <c r="F32" s="23"/>
      <c r="G32" s="23"/>
    </row>
    <row r="33" spans="1:7">
      <c r="A33" s="23"/>
      <c r="B33" s="29" t="s">
        <v>165</v>
      </c>
      <c r="C33" s="40"/>
      <c r="D33" s="41"/>
      <c r="E33" s="30">
        <f>E26+E27+E28+E29+E30+E31+E32</f>
        <v>18.923485967503694</v>
      </c>
      <c r="F33" s="23"/>
      <c r="G33" s="23"/>
    </row>
    <row r="34" spans="1:7">
      <c r="A34" s="23"/>
      <c r="B34" s="29" t="s">
        <v>166</v>
      </c>
      <c r="C34" s="23"/>
      <c r="D34" s="23"/>
      <c r="E34" s="58">
        <f>(E26+E27+E28+E29+E30+E31)*'⚙️ 配置'!MARKUP</f>
        <v>4.4058714918759234</v>
      </c>
      <c r="F34" s="23"/>
      <c r="G34" s="23"/>
    </row>
    <row r="35" spans="1:7" ht="16.5">
      <c r="A35" s="23"/>
      <c r="B35" s="39" t="s">
        <v>167</v>
      </c>
      <c r="C35" s="23"/>
      <c r="D35" s="23"/>
      <c r="E35" s="42">
        <f>E33+E34</f>
        <v>23.329357459379619</v>
      </c>
      <c r="F35" s="23"/>
      <c r="G35" s="23"/>
    </row>
    <row r="36" spans="1:7">
      <c r="A36" s="23"/>
      <c r="B36" s="23"/>
      <c r="C36" s="23"/>
      <c r="D36" s="23"/>
      <c r="E36" s="40"/>
      <c r="F36" s="23"/>
      <c r="G36" s="23"/>
    </row>
    <row r="37" spans="1:7" ht="22" customHeight="1">
      <c r="A37" s="112" t="s">
        <v>173</v>
      </c>
      <c r="B37" s="106"/>
      <c r="C37" s="106"/>
      <c r="D37" s="106"/>
      <c r="E37" s="106"/>
      <c r="F37" s="23"/>
      <c r="G37" s="23"/>
    </row>
    <row r="38" spans="1:7" ht="29.5" thickBot="1">
      <c r="A38" s="24" t="s">
        <v>46</v>
      </c>
      <c r="B38" s="24" t="s">
        <v>47</v>
      </c>
      <c r="C38" s="48" t="s">
        <v>152</v>
      </c>
      <c r="D38" s="24" t="s">
        <v>153</v>
      </c>
      <c r="E38" s="43" t="s">
        <v>154</v>
      </c>
      <c r="F38" s="23"/>
      <c r="G38" s="23"/>
    </row>
    <row r="39" spans="1:7" ht="15" thickBot="1">
      <c r="A39" s="26" t="s">
        <v>104</v>
      </c>
      <c r="B39" s="26" t="s">
        <v>106</v>
      </c>
      <c r="C39" s="26">
        <f>VLOOKUP(A39,'📦 单品成本'!$A$6:$H$50,8,FALSE())</f>
        <v>0.81994091580502215</v>
      </c>
      <c r="D39" s="44">
        <v>1</v>
      </c>
      <c r="E39" s="27">
        <f>C39*D39</f>
        <v>0.81994091580502215</v>
      </c>
      <c r="F39" s="23"/>
      <c r="G39" s="23"/>
    </row>
    <row r="40" spans="1:7">
      <c r="A40" s="26" t="s">
        <v>107</v>
      </c>
      <c r="B40" s="26" t="s">
        <v>109</v>
      </c>
      <c r="C40" s="26">
        <f>VLOOKUP(A40,'📦 单品成本'!$A$6:$H$50,8,FALSE())</f>
        <v>0.78744460856720833</v>
      </c>
      <c r="D40" s="44">
        <v>1</v>
      </c>
      <c r="E40" s="26">
        <f>C40*D40</f>
        <v>0.78744460856720833</v>
      </c>
      <c r="F40" s="23"/>
      <c r="G40" s="23"/>
    </row>
    <row r="41" spans="1:7">
      <c r="A41" s="49" t="s">
        <v>110</v>
      </c>
      <c r="B41" s="26" t="s">
        <v>112</v>
      </c>
      <c r="C41" s="26">
        <f>VLOOKUP(A41,'📦 单品成本'!$A$6:$H$50,8,FALSE())</f>
        <v>4.3620384047267358</v>
      </c>
      <c r="D41" s="44">
        <v>1</v>
      </c>
      <c r="E41" s="26">
        <f>C41*D41</f>
        <v>4.3620384047267358</v>
      </c>
      <c r="F41" s="23"/>
      <c r="G41" s="23"/>
    </row>
    <row r="42" spans="1:7">
      <c r="A42" s="25"/>
      <c r="B42" s="37" t="s">
        <v>158</v>
      </c>
      <c r="C42" s="25"/>
      <c r="D42" s="25"/>
      <c r="E42" s="59">
        <f>SUM(E39:E41)</f>
        <v>5.9694239290989657</v>
      </c>
      <c r="F42" s="25"/>
      <c r="G42" s="25"/>
    </row>
    <row r="43" spans="1:7">
      <c r="A43" s="23"/>
      <c r="B43" s="23" t="s">
        <v>174</v>
      </c>
      <c r="C43" s="40"/>
      <c r="D43" s="41"/>
      <c r="E43" s="31">
        <v>1.8</v>
      </c>
      <c r="F43" s="23"/>
      <c r="G43" s="23"/>
    </row>
    <row r="44" spans="1:7">
      <c r="A44" s="23"/>
      <c r="B44" s="23" t="s">
        <v>160</v>
      </c>
      <c r="C44" s="40"/>
      <c r="D44" s="41"/>
      <c r="E44" s="32">
        <v>0</v>
      </c>
      <c r="F44" s="23"/>
      <c r="G44" s="23"/>
    </row>
    <row r="45" spans="1:7">
      <c r="A45" s="23"/>
      <c r="B45" s="23" t="s">
        <v>161</v>
      </c>
      <c r="C45" s="40"/>
      <c r="D45" s="41"/>
      <c r="E45" s="32">
        <v>0</v>
      </c>
      <c r="F45" s="23"/>
      <c r="G45" s="23"/>
    </row>
    <row r="46" spans="1:7">
      <c r="A46" s="23"/>
      <c r="B46" s="23" t="s">
        <v>162</v>
      </c>
      <c r="C46" s="23"/>
      <c r="D46" s="23"/>
      <c r="E46" s="32">
        <v>0</v>
      </c>
      <c r="F46" s="23"/>
      <c r="G46" s="23"/>
    </row>
    <row r="47" spans="1:7">
      <c r="A47" s="23"/>
      <c r="B47" s="23" t="s">
        <v>163</v>
      </c>
      <c r="C47" s="23"/>
      <c r="D47" s="23"/>
      <c r="E47" s="32">
        <v>0</v>
      </c>
      <c r="F47" s="23"/>
      <c r="G47" s="23"/>
    </row>
    <row r="48" spans="1:7">
      <c r="A48" s="23"/>
      <c r="B48" s="23" t="s">
        <v>164</v>
      </c>
      <c r="C48" s="23"/>
      <c r="D48" s="23"/>
      <c r="E48" s="47">
        <v>1.3</v>
      </c>
      <c r="F48" s="23"/>
      <c r="G48" s="23"/>
    </row>
    <row r="49" spans="1:7">
      <c r="A49" s="23"/>
      <c r="B49" s="29" t="s">
        <v>165</v>
      </c>
      <c r="C49" s="23"/>
      <c r="D49" s="23"/>
      <c r="E49" s="30">
        <f>E42+E43+E44+E45+E46+E47+E48</f>
        <v>9.0694239290989653</v>
      </c>
      <c r="F49" s="23"/>
      <c r="G49" s="23"/>
    </row>
    <row r="50" spans="1:7" ht="15" thickBot="1">
      <c r="A50" s="23"/>
      <c r="B50" s="29" t="s">
        <v>166</v>
      </c>
      <c r="C50" s="33"/>
      <c r="D50" s="23"/>
      <c r="E50" s="58">
        <f>(E42+E43+E44+E45+E46+E47)*'⚙️ 配置'!MARKUP</f>
        <v>1.9423559822747414</v>
      </c>
      <c r="F50" s="23"/>
      <c r="G50" s="23"/>
    </row>
    <row r="51" spans="1:7" ht="17" thickBot="1">
      <c r="A51" s="23"/>
      <c r="B51" s="39" t="s">
        <v>167</v>
      </c>
      <c r="C51" s="23"/>
      <c r="D51" s="23"/>
      <c r="E51" s="42">
        <f>E49+E50</f>
        <v>11.011779911373706</v>
      </c>
      <c r="F51" s="23"/>
      <c r="G51" s="23"/>
    </row>
    <row r="52" spans="1:7">
      <c r="A52" s="23"/>
      <c r="B52" s="23"/>
      <c r="C52" s="23"/>
      <c r="D52" s="23"/>
      <c r="E52" s="23"/>
      <c r="F52" s="23"/>
      <c r="G52" s="23"/>
    </row>
    <row r="53" spans="1:7" ht="22" customHeight="1">
      <c r="A53" s="112" t="s">
        <v>175</v>
      </c>
      <c r="B53" s="106"/>
      <c r="C53" s="106"/>
      <c r="D53" s="106"/>
      <c r="E53" s="106"/>
      <c r="F53" s="23"/>
      <c r="G53" s="23"/>
    </row>
    <row r="54" spans="1:7" ht="29">
      <c r="A54" s="24" t="s">
        <v>46</v>
      </c>
      <c r="B54" s="24" t="s">
        <v>47</v>
      </c>
      <c r="C54" s="24" t="s">
        <v>152</v>
      </c>
      <c r="D54" s="24" t="s">
        <v>153</v>
      </c>
      <c r="E54" s="24" t="s">
        <v>154</v>
      </c>
      <c r="F54" s="25"/>
      <c r="G54" s="25"/>
    </row>
    <row r="55" spans="1:7">
      <c r="A55" s="26" t="s">
        <v>61</v>
      </c>
      <c r="B55" s="26" t="s">
        <v>176</v>
      </c>
      <c r="C55" s="27">
        <f>VLOOKUP(A55,'📦 单品成本'!$A$6:$H$50,8,FALSE())</f>
        <v>5.761890694239292</v>
      </c>
      <c r="D55" s="28">
        <v>1</v>
      </c>
      <c r="E55" s="27">
        <f>C55*D55</f>
        <v>5.761890694239292</v>
      </c>
      <c r="F55" s="23"/>
      <c r="G55" s="23"/>
    </row>
    <row r="56" spans="1:7">
      <c r="A56" s="26" t="s">
        <v>113</v>
      </c>
      <c r="B56" s="26" t="s">
        <v>177</v>
      </c>
      <c r="C56" s="27">
        <f>VLOOKUP(A56,'📦 单品成本'!$A$6:$H$50,8,FALSE())</f>
        <v>3.5496307237813887</v>
      </c>
      <c r="D56" s="28">
        <v>1</v>
      </c>
      <c r="E56" s="27">
        <f>C56*D56</f>
        <v>3.5496307237813887</v>
      </c>
      <c r="F56" s="23"/>
      <c r="G56" s="23"/>
    </row>
    <row r="57" spans="1:7">
      <c r="A57" s="26" t="s">
        <v>116</v>
      </c>
      <c r="B57" s="26" t="s">
        <v>178</v>
      </c>
      <c r="C57" s="27">
        <f>VLOOKUP(A57,'📦 单品成本'!$A$6:$H$50,8,FALSE())</f>
        <v>2.0872968980797637</v>
      </c>
      <c r="D57" s="28">
        <v>1</v>
      </c>
      <c r="E57" s="27">
        <f>C57*D57</f>
        <v>2.0872968980797637</v>
      </c>
      <c r="F57" s="23"/>
      <c r="G57" s="23"/>
    </row>
    <row r="58" spans="1:7">
      <c r="A58" s="23"/>
      <c r="B58" s="29" t="s">
        <v>158</v>
      </c>
      <c r="C58" s="23"/>
      <c r="D58" s="23"/>
      <c r="E58" s="30">
        <f>SUM(E55:E57)</f>
        <v>11.398818316100444</v>
      </c>
      <c r="F58" s="23"/>
      <c r="G58" s="23"/>
    </row>
    <row r="59" spans="1:7">
      <c r="A59" s="23"/>
      <c r="B59" s="23" t="s">
        <v>179</v>
      </c>
      <c r="C59" s="23"/>
      <c r="D59" s="23"/>
      <c r="E59" s="31">
        <v>1.8</v>
      </c>
      <c r="F59" s="23"/>
      <c r="G59" s="23"/>
    </row>
    <row r="60" spans="1:7">
      <c r="A60" s="23"/>
      <c r="B60" s="23" t="s">
        <v>160</v>
      </c>
      <c r="C60" s="23"/>
      <c r="D60" s="23"/>
      <c r="E60" s="32">
        <v>0</v>
      </c>
      <c r="F60" s="23"/>
      <c r="G60" s="23"/>
    </row>
    <row r="61" spans="1:7">
      <c r="A61" s="23"/>
      <c r="B61" s="23" t="s">
        <v>161</v>
      </c>
      <c r="C61" s="23"/>
      <c r="D61" s="23"/>
      <c r="E61" s="32">
        <v>0</v>
      </c>
      <c r="F61" s="23"/>
      <c r="G61" s="23"/>
    </row>
    <row r="62" spans="1:7" ht="15" thickBot="1">
      <c r="A62" s="23"/>
      <c r="B62" s="23" t="s">
        <v>162</v>
      </c>
      <c r="C62" s="33"/>
      <c r="D62" s="23"/>
      <c r="E62" s="32">
        <v>0</v>
      </c>
      <c r="F62" s="23"/>
      <c r="G62" s="23"/>
    </row>
    <row r="63" spans="1:7" ht="15" thickBot="1">
      <c r="A63" s="23"/>
      <c r="B63" s="23" t="s">
        <v>163</v>
      </c>
      <c r="C63" s="23"/>
      <c r="D63" s="23"/>
      <c r="E63" s="32">
        <v>0</v>
      </c>
      <c r="F63" s="23"/>
      <c r="G63" s="23"/>
    </row>
    <row r="64" spans="1:7">
      <c r="A64" s="23"/>
      <c r="B64" s="23" t="s">
        <v>164</v>
      </c>
      <c r="C64" s="23"/>
      <c r="D64" s="23"/>
      <c r="E64" s="34">
        <v>1.3</v>
      </c>
      <c r="F64" s="23"/>
      <c r="G64" s="23"/>
    </row>
    <row r="65" spans="1:7">
      <c r="A65" s="35"/>
      <c r="B65" s="29" t="s">
        <v>165</v>
      </c>
      <c r="C65" s="23"/>
      <c r="D65" s="23"/>
      <c r="E65" s="36">
        <f>E58+E59+E60+E61+E62+E63+E64</f>
        <v>14.498818316100445</v>
      </c>
      <c r="F65" s="23"/>
      <c r="G65" s="23"/>
    </row>
    <row r="66" spans="1:7">
      <c r="A66" s="25"/>
      <c r="B66" s="37" t="s">
        <v>166</v>
      </c>
      <c r="C66" s="25"/>
      <c r="D66" s="25"/>
      <c r="E66" s="58">
        <f>(E58+E59+E60+E61+E62+E63)*'⚙️ 配置'!MARKUP</f>
        <v>3.2997045790251112</v>
      </c>
      <c r="F66" s="25"/>
      <c r="G66" s="25"/>
    </row>
    <row r="67" spans="1:7" ht="16.5">
      <c r="A67" s="23"/>
      <c r="B67" s="39" t="s">
        <v>167</v>
      </c>
      <c r="C67" s="40"/>
      <c r="D67" s="41"/>
      <c r="E67" s="42">
        <f>E65+E66</f>
        <v>17.798522895125558</v>
      </c>
      <c r="F67" s="23"/>
      <c r="G67" s="23"/>
    </row>
    <row r="68" spans="1:7">
      <c r="A68" s="23"/>
      <c r="B68" s="23"/>
      <c r="C68" s="40"/>
      <c r="D68" s="41"/>
      <c r="E68" s="40"/>
      <c r="F68" s="23"/>
      <c r="G68" s="23"/>
    </row>
    <row r="69" spans="1:7" ht="22" customHeight="1">
      <c r="A69" s="112" t="s">
        <v>180</v>
      </c>
      <c r="B69" s="106"/>
      <c r="C69" s="106"/>
      <c r="D69" s="106"/>
      <c r="E69" s="106"/>
      <c r="F69" s="23"/>
      <c r="G69" s="23"/>
    </row>
    <row r="70" spans="1:7" ht="29">
      <c r="A70" s="24" t="s">
        <v>46</v>
      </c>
      <c r="B70" s="24" t="s">
        <v>47</v>
      </c>
      <c r="C70" s="24" t="s">
        <v>152</v>
      </c>
      <c r="D70" s="24" t="s">
        <v>153</v>
      </c>
      <c r="E70" s="43" t="s">
        <v>154</v>
      </c>
      <c r="F70" s="23"/>
      <c r="G70" s="23"/>
    </row>
    <row r="71" spans="1:7">
      <c r="A71" s="26" t="s">
        <v>55</v>
      </c>
      <c r="B71" s="26" t="s">
        <v>169</v>
      </c>
      <c r="C71" s="26">
        <f>VLOOKUP(A71,'📦 单品成本'!$A$6:$H$50,8,FALSE())</f>
        <v>5.0119645494830136</v>
      </c>
      <c r="D71" s="44">
        <v>1</v>
      </c>
      <c r="E71" s="27">
        <f>C71*D71</f>
        <v>5.0119645494830136</v>
      </c>
      <c r="F71" s="23"/>
      <c r="G71" s="23"/>
    </row>
    <row r="72" spans="1:7">
      <c r="A72" s="26" t="s">
        <v>128</v>
      </c>
      <c r="B72" s="26" t="s">
        <v>181</v>
      </c>
      <c r="C72" s="26">
        <f>VLOOKUP(A72,'📦 单品成本'!$A$6:$H$50,8,FALSE())</f>
        <v>7.0617429837518477</v>
      </c>
      <c r="D72" s="44">
        <v>1</v>
      </c>
      <c r="E72" s="27">
        <f>C72*D72</f>
        <v>7.0617429837518477</v>
      </c>
      <c r="F72" s="23"/>
      <c r="G72" s="23"/>
    </row>
    <row r="73" spans="1:7">
      <c r="A73" s="26" t="s">
        <v>119</v>
      </c>
      <c r="B73" s="26" t="s">
        <v>182</v>
      </c>
      <c r="C73" s="26">
        <f>VLOOKUP(A73,'📦 单品成本'!$A$6:$H$50,8,FALSE())</f>
        <v>3.6496307237813888</v>
      </c>
      <c r="D73" s="44">
        <v>1</v>
      </c>
      <c r="E73" s="27">
        <f>C73*D73</f>
        <v>3.6496307237813888</v>
      </c>
      <c r="F73" s="23"/>
      <c r="G73" s="23"/>
    </row>
    <row r="74" spans="1:7" ht="15" thickBot="1">
      <c r="A74" s="23"/>
      <c r="B74" s="29" t="s">
        <v>158</v>
      </c>
      <c r="C74" s="33"/>
      <c r="D74" s="23"/>
      <c r="E74" s="30">
        <f>SUM(E71:E73)</f>
        <v>15.72333825701625</v>
      </c>
      <c r="F74" s="23"/>
      <c r="G74" s="23"/>
    </row>
    <row r="75" spans="1:7" ht="15" thickBot="1">
      <c r="A75" s="23"/>
      <c r="B75" s="23" t="s">
        <v>183</v>
      </c>
      <c r="C75" s="23"/>
      <c r="D75" s="23"/>
      <c r="E75" s="31">
        <v>2.8</v>
      </c>
      <c r="F75" s="23"/>
      <c r="G75" s="23"/>
    </row>
    <row r="76" spans="1:7">
      <c r="A76" s="23"/>
      <c r="B76" s="23" t="s">
        <v>160</v>
      </c>
      <c r="C76" s="23"/>
      <c r="D76" s="23"/>
      <c r="E76" s="45">
        <v>0</v>
      </c>
      <c r="F76" s="23"/>
      <c r="G76" s="23"/>
    </row>
    <row r="77" spans="1:7">
      <c r="A77" s="35"/>
      <c r="B77" s="23" t="s">
        <v>161</v>
      </c>
      <c r="C77" s="23"/>
      <c r="D77" s="23"/>
      <c r="E77" s="45">
        <v>0</v>
      </c>
      <c r="F77" s="23"/>
      <c r="G77" s="23"/>
    </row>
    <row r="78" spans="1:7">
      <c r="A78" s="25"/>
      <c r="B78" s="25" t="s">
        <v>162</v>
      </c>
      <c r="C78" s="25"/>
      <c r="D78" s="25"/>
      <c r="E78" s="46">
        <v>0</v>
      </c>
      <c r="F78" s="25"/>
      <c r="G78" s="25"/>
    </row>
    <row r="79" spans="1:7">
      <c r="A79" s="23"/>
      <c r="B79" s="23" t="s">
        <v>163</v>
      </c>
      <c r="C79" s="40"/>
      <c r="D79" s="41"/>
      <c r="E79" s="32">
        <v>0</v>
      </c>
      <c r="F79" s="23"/>
      <c r="G79" s="23"/>
    </row>
    <row r="80" spans="1:7">
      <c r="A80" s="23"/>
      <c r="B80" s="23" t="s">
        <v>164</v>
      </c>
      <c r="C80" s="40"/>
      <c r="D80" s="41"/>
      <c r="E80" s="47">
        <v>1.3</v>
      </c>
      <c r="F80" s="23"/>
      <c r="G80" s="23"/>
    </row>
    <row r="81" spans="1:7">
      <c r="A81" s="23"/>
      <c r="B81" s="29" t="s">
        <v>165</v>
      </c>
      <c r="C81" s="40"/>
      <c r="D81" s="41"/>
      <c r="E81" s="30">
        <f>E74+E75+E76+E77+E78+E79+E80</f>
        <v>19.82333825701625</v>
      </c>
      <c r="F81" s="23"/>
      <c r="G81" s="23"/>
    </row>
    <row r="82" spans="1:7">
      <c r="A82" s="23"/>
      <c r="B82" s="29" t="s">
        <v>166</v>
      </c>
      <c r="C82" s="23"/>
      <c r="D82" s="23"/>
      <c r="E82" s="58">
        <f>(E74+E75+E76+E77+E78+E79)*'⚙️ 配置'!MARKUP</f>
        <v>4.6308345642540623</v>
      </c>
      <c r="F82" s="23"/>
      <c r="G82" s="23"/>
    </row>
    <row r="83" spans="1:7" ht="16.5">
      <c r="A83" s="23"/>
      <c r="B83" s="39" t="s">
        <v>167</v>
      </c>
      <c r="C83" s="23"/>
      <c r="D83" s="23"/>
      <c r="E83" s="42">
        <f>E81+E82</f>
        <v>24.454172821270312</v>
      </c>
      <c r="F83" s="23"/>
      <c r="G83" s="23"/>
    </row>
    <row r="84" spans="1:7">
      <c r="A84" s="23"/>
      <c r="B84" s="23"/>
      <c r="C84" s="23"/>
      <c r="D84" s="23"/>
      <c r="E84" s="40"/>
      <c r="F84" s="23"/>
      <c r="G84" s="23"/>
    </row>
    <row r="85" spans="1:7" ht="22" customHeight="1">
      <c r="A85" s="112" t="s">
        <v>184</v>
      </c>
      <c r="B85" s="106"/>
      <c r="C85" s="106"/>
      <c r="D85" s="106"/>
      <c r="E85" s="106"/>
      <c r="F85" s="23"/>
      <c r="G85" s="23"/>
    </row>
    <row r="86" spans="1:7" ht="29.5" thickBot="1">
      <c r="A86" s="24" t="s">
        <v>46</v>
      </c>
      <c r="B86" s="24" t="s">
        <v>47</v>
      </c>
      <c r="C86" s="48" t="s">
        <v>152</v>
      </c>
      <c r="D86" s="24" t="s">
        <v>153</v>
      </c>
      <c r="E86" s="43" t="s">
        <v>154</v>
      </c>
      <c r="F86" s="23"/>
      <c r="G86" s="23"/>
    </row>
    <row r="87" spans="1:7" ht="15" thickBot="1">
      <c r="A87" s="26" t="s">
        <v>101</v>
      </c>
      <c r="B87" s="26" t="s">
        <v>185</v>
      </c>
      <c r="C87" s="26">
        <f>VLOOKUP(A87,'📦 单品成本'!$A$6:$H$50,8,FALSE())</f>
        <v>4.3620384047267358</v>
      </c>
      <c r="D87" s="44">
        <v>1</v>
      </c>
      <c r="E87" s="27">
        <f>C87*D87</f>
        <v>4.3620384047267358</v>
      </c>
      <c r="F87" s="23"/>
      <c r="G87" s="23"/>
    </row>
    <row r="88" spans="1:7">
      <c r="A88" s="26" t="s">
        <v>64</v>
      </c>
      <c r="B88" s="26" t="s">
        <v>186</v>
      </c>
      <c r="C88" s="26">
        <f>VLOOKUP(A88,'📦 单品成本'!$A$6:$H$50,8,FALSE())</f>
        <v>1.5998522895125555</v>
      </c>
      <c r="D88" s="44">
        <v>1</v>
      </c>
      <c r="E88" s="26">
        <f>C88*D88</f>
        <v>1.5998522895125555</v>
      </c>
      <c r="F88" s="23"/>
      <c r="G88" s="23"/>
    </row>
    <row r="89" spans="1:7">
      <c r="A89" s="49" t="s">
        <v>80</v>
      </c>
      <c r="B89" s="26" t="s">
        <v>187</v>
      </c>
      <c r="C89" s="26">
        <f>VLOOKUP(A89,'📦 单品成本'!$A$6:$H$50,8,FALSE())</f>
        <v>3.8745937961595276</v>
      </c>
      <c r="D89" s="44">
        <v>1</v>
      </c>
      <c r="E89" s="26">
        <f>C89*D89</f>
        <v>3.8745937961595276</v>
      </c>
      <c r="F89" s="23"/>
      <c r="G89" s="23"/>
    </row>
    <row r="90" spans="1:7">
      <c r="A90" s="25"/>
      <c r="B90" s="37" t="s">
        <v>158</v>
      </c>
      <c r="C90" s="25"/>
      <c r="D90" s="25"/>
      <c r="E90" s="38">
        <f>SUM(E87:E89)</f>
        <v>9.8364844903988189</v>
      </c>
      <c r="F90" s="25"/>
      <c r="G90" s="25"/>
    </row>
    <row r="91" spans="1:7">
      <c r="A91" s="23"/>
      <c r="B91" s="23" t="s">
        <v>188</v>
      </c>
      <c r="C91" s="40"/>
      <c r="D91" s="41"/>
      <c r="E91" s="31">
        <v>2.5</v>
      </c>
      <c r="F91" s="23"/>
      <c r="G91" s="23"/>
    </row>
    <row r="92" spans="1:7">
      <c r="A92" s="23"/>
      <c r="B92" s="23" t="s">
        <v>160</v>
      </c>
      <c r="C92" s="40"/>
      <c r="D92" s="41"/>
      <c r="E92" s="32">
        <v>0</v>
      </c>
      <c r="F92" s="23"/>
      <c r="G92" s="23"/>
    </row>
    <row r="93" spans="1:7">
      <c r="A93" s="23"/>
      <c r="B93" s="23" t="s">
        <v>161</v>
      </c>
      <c r="C93" s="40"/>
      <c r="D93" s="41"/>
      <c r="E93" s="32">
        <v>0</v>
      </c>
      <c r="F93" s="23"/>
      <c r="G93" s="23"/>
    </row>
    <row r="94" spans="1:7">
      <c r="A94" s="23"/>
      <c r="B94" s="23" t="s">
        <v>162</v>
      </c>
      <c r="C94" s="40"/>
      <c r="D94" s="41"/>
      <c r="E94" s="32">
        <v>0</v>
      </c>
      <c r="F94" s="23"/>
      <c r="G94" s="23"/>
    </row>
    <row r="95" spans="1:7">
      <c r="A95" s="23"/>
      <c r="B95" s="23" t="s">
        <v>163</v>
      </c>
      <c r="C95" s="23"/>
      <c r="D95" s="23"/>
      <c r="E95" s="32">
        <v>0</v>
      </c>
      <c r="F95" s="23"/>
      <c r="G95" s="23"/>
    </row>
    <row r="96" spans="1:7">
      <c r="A96" s="23"/>
      <c r="B96" s="23" t="s">
        <v>164</v>
      </c>
      <c r="C96" s="23"/>
      <c r="D96" s="23"/>
      <c r="E96" s="47">
        <v>1.3</v>
      </c>
      <c r="F96" s="23"/>
      <c r="G96" s="23"/>
    </row>
    <row r="97" spans="1:7">
      <c r="A97" s="23"/>
      <c r="B97" s="29" t="s">
        <v>165</v>
      </c>
      <c r="C97" s="23"/>
      <c r="D97" s="23"/>
      <c r="E97" s="30">
        <f>E90+E91+E92+E93+E94+E95+E96</f>
        <v>13.63648449039882</v>
      </c>
      <c r="F97" s="23"/>
      <c r="G97" s="23"/>
    </row>
    <row r="98" spans="1:7">
      <c r="A98" s="23"/>
      <c r="B98" s="29" t="s">
        <v>166</v>
      </c>
      <c r="C98" s="23"/>
      <c r="D98" s="23"/>
      <c r="E98" s="58">
        <f>(E90+E91+E92+E93+E94+E95)*'⚙️ 配置'!MARKUP</f>
        <v>3.0841211225997047</v>
      </c>
      <c r="F98" s="23"/>
      <c r="G98" s="23"/>
    </row>
    <row r="99" spans="1:7" ht="17" thickBot="1">
      <c r="A99" s="23"/>
      <c r="B99" s="39" t="s">
        <v>167</v>
      </c>
      <c r="C99" s="33"/>
      <c r="D99" s="23"/>
      <c r="E99" s="42">
        <f>E97+E98</f>
        <v>16.720605612998526</v>
      </c>
      <c r="F99" s="23"/>
      <c r="G99" s="23"/>
    </row>
    <row r="100" spans="1:7" ht="15" thickBot="1">
      <c r="A100" s="23"/>
      <c r="B100" s="23"/>
      <c r="C100" s="23"/>
      <c r="D100" s="23"/>
      <c r="E100" s="40"/>
      <c r="F100" s="23"/>
      <c r="G100" s="23"/>
    </row>
    <row r="101" spans="1:7" ht="22" customHeight="1">
      <c r="A101" s="113" t="s">
        <v>189</v>
      </c>
      <c r="B101" s="106"/>
      <c r="C101" s="106"/>
      <c r="D101" s="106"/>
      <c r="E101" s="106"/>
    </row>
    <row r="102" spans="1:7" ht="29">
      <c r="A102" s="24" t="s">
        <v>46</v>
      </c>
      <c r="B102" s="24" t="s">
        <v>47</v>
      </c>
      <c r="C102" s="24" t="s">
        <v>152</v>
      </c>
      <c r="D102" s="24" t="s">
        <v>153</v>
      </c>
      <c r="E102" s="24" t="s">
        <v>154</v>
      </c>
    </row>
    <row r="103" spans="1:7">
      <c r="A103" s="50" t="s">
        <v>67</v>
      </c>
      <c r="B103" s="50" t="s">
        <v>69</v>
      </c>
      <c r="C103" s="50">
        <f>VLOOKUP(A103,'📦 单品成本'!$A$6:$H$50,8,FALSE())</f>
        <v>1.9248153618906945</v>
      </c>
      <c r="D103" s="51">
        <v>1</v>
      </c>
      <c r="E103" s="50">
        <f>C103*D103</f>
        <v>1.9248153618906945</v>
      </c>
    </row>
    <row r="104" spans="1:7">
      <c r="A104" s="50" t="s">
        <v>92</v>
      </c>
      <c r="B104" s="50" t="s">
        <v>94</v>
      </c>
      <c r="C104" s="50">
        <f>VLOOKUP(A104,'📦 单品成本'!$A$6:$H$50,8,FALSE())</f>
        <v>1.9735598227474156</v>
      </c>
      <c r="D104" s="51">
        <v>1</v>
      </c>
      <c r="E104" s="50">
        <f>C104*D104</f>
        <v>1.9735598227474156</v>
      </c>
    </row>
    <row r="105" spans="1:7">
      <c r="A105" s="50" t="s">
        <v>142</v>
      </c>
      <c r="B105" s="50" t="s">
        <v>190</v>
      </c>
      <c r="C105" s="50">
        <f>VLOOKUP(A105,'📦 单品成本'!$A$6:$H$50,8,FALSE())</f>
        <v>1.4561299852289515</v>
      </c>
      <c r="D105" s="51">
        <v>1</v>
      </c>
      <c r="E105" s="50">
        <f>C105*D105</f>
        <v>1.4561299852289515</v>
      </c>
    </row>
    <row r="106" spans="1:7">
      <c r="B106" s="52" t="s">
        <v>158</v>
      </c>
      <c r="E106" s="53">
        <f>SUM(E103:E105)</f>
        <v>5.3545051698670614</v>
      </c>
    </row>
    <row r="107" spans="1:7">
      <c r="B107" t="s">
        <v>183</v>
      </c>
      <c r="E107" s="54">
        <v>2.8</v>
      </c>
    </row>
    <row r="108" spans="1:7">
      <c r="B108" t="s">
        <v>160</v>
      </c>
      <c r="E108" s="55">
        <v>0</v>
      </c>
    </row>
    <row r="109" spans="1:7">
      <c r="B109" t="s">
        <v>161</v>
      </c>
      <c r="E109" s="55">
        <v>0</v>
      </c>
    </row>
    <row r="110" spans="1:7">
      <c r="B110" t="s">
        <v>162</v>
      </c>
      <c r="E110" s="55">
        <v>0</v>
      </c>
    </row>
    <row r="111" spans="1:7">
      <c r="B111" t="s">
        <v>163</v>
      </c>
      <c r="E111" s="55">
        <v>0</v>
      </c>
    </row>
    <row r="112" spans="1:7">
      <c r="B112" t="s">
        <v>164</v>
      </c>
      <c r="E112" s="56">
        <v>1.3</v>
      </c>
    </row>
    <row r="113" spans="1:5">
      <c r="B113" s="52" t="s">
        <v>165</v>
      </c>
      <c r="E113" s="53">
        <f>E106+E107+E108+E109+E110+E111+E112</f>
        <v>9.4545051698670619</v>
      </c>
    </row>
    <row r="114" spans="1:5">
      <c r="B114" s="52" t="s">
        <v>166</v>
      </c>
      <c r="E114" s="58">
        <f>(E106+E107+E108+E109+E110+E111)*'⚙️ 配置'!MARKUP</f>
        <v>2.0386262924667653</v>
      </c>
    </row>
    <row r="115" spans="1:5" ht="16.5">
      <c r="B115" s="57" t="s">
        <v>167</v>
      </c>
      <c r="E115" s="57">
        <f>E113+E114</f>
        <v>11.493131462333828</v>
      </c>
    </row>
    <row r="117" spans="1:5" ht="22" customHeight="1">
      <c r="A117" s="113" t="s">
        <v>191</v>
      </c>
      <c r="B117" s="106"/>
      <c r="C117" s="106"/>
      <c r="D117" s="106"/>
      <c r="E117" s="106"/>
    </row>
    <row r="118" spans="1:5" ht="29">
      <c r="A118" s="24" t="s">
        <v>46</v>
      </c>
      <c r="B118" s="24" t="s">
        <v>47</v>
      </c>
      <c r="C118" s="24" t="s">
        <v>152</v>
      </c>
      <c r="D118" s="24" t="s">
        <v>153</v>
      </c>
      <c r="E118" s="24" t="s">
        <v>154</v>
      </c>
    </row>
    <row r="119" spans="1:5">
      <c r="A119" s="50" t="s">
        <v>70</v>
      </c>
      <c r="B119" s="50" t="s">
        <v>72</v>
      </c>
      <c r="C119" s="50">
        <f>VLOOKUP(A119,'📦 单品成本'!$A$6:$H$50,8,FALSE())</f>
        <v>2.7372230428360411</v>
      </c>
      <c r="D119" s="51">
        <v>1</v>
      </c>
      <c r="E119" s="50">
        <f>C119*D119</f>
        <v>2.7372230428360411</v>
      </c>
    </row>
    <row r="120" spans="1:5">
      <c r="A120" s="50" t="s">
        <v>122</v>
      </c>
      <c r="B120" s="50" t="s">
        <v>192</v>
      </c>
      <c r="C120" s="50">
        <f>VLOOKUP(A120,'📦 单品成本'!$A$6:$H$50,8,FALSE())</f>
        <v>1.6186115214180208</v>
      </c>
      <c r="D120" s="51">
        <v>1</v>
      </c>
      <c r="E120" s="50">
        <f>C120*D120</f>
        <v>1.6186115214180208</v>
      </c>
    </row>
    <row r="121" spans="1:5">
      <c r="A121" s="50" t="s">
        <v>98</v>
      </c>
      <c r="B121" s="50" t="s">
        <v>171</v>
      </c>
      <c r="C121" s="50">
        <f>VLOOKUP(A121,'📦 单品成本'!$A$6:$H$50,8,FALSE())</f>
        <v>4.7870014771048757</v>
      </c>
      <c r="D121" s="51">
        <v>1</v>
      </c>
      <c r="E121" s="50">
        <f>C121*D121</f>
        <v>4.7870014771048757</v>
      </c>
    </row>
    <row r="122" spans="1:5">
      <c r="A122" s="50" t="s">
        <v>145</v>
      </c>
      <c r="B122" s="50" t="s">
        <v>193</v>
      </c>
      <c r="C122" s="50">
        <f>VLOOKUP(A122,'📦 单品成本'!$A$6:$H$50,8,FALSE())</f>
        <v>9.7614475627769579</v>
      </c>
      <c r="D122" s="51">
        <v>1</v>
      </c>
      <c r="E122" s="50">
        <f>C122*D122</f>
        <v>9.7614475627769579</v>
      </c>
    </row>
    <row r="123" spans="1:5">
      <c r="B123" s="52" t="s">
        <v>158</v>
      </c>
      <c r="E123" s="53">
        <f>SUM(E119:E122)</f>
        <v>18.904283604135895</v>
      </c>
    </row>
    <row r="124" spans="1:5">
      <c r="B124" t="s">
        <v>194</v>
      </c>
      <c r="E124" s="54">
        <v>4.2</v>
      </c>
    </row>
    <row r="125" spans="1:5">
      <c r="B125" t="s">
        <v>160</v>
      </c>
      <c r="E125" s="55">
        <v>0</v>
      </c>
    </row>
    <row r="126" spans="1:5">
      <c r="B126" t="s">
        <v>161</v>
      </c>
      <c r="E126" s="55">
        <v>0</v>
      </c>
    </row>
    <row r="127" spans="1:5">
      <c r="B127" t="s">
        <v>162</v>
      </c>
      <c r="E127" s="55">
        <v>0</v>
      </c>
    </row>
    <row r="128" spans="1:5">
      <c r="B128" t="s">
        <v>163</v>
      </c>
      <c r="E128" s="55">
        <v>0</v>
      </c>
    </row>
    <row r="129" spans="2:5">
      <c r="B129" t="s">
        <v>164</v>
      </c>
      <c r="E129" s="56">
        <v>1.3</v>
      </c>
    </row>
    <row r="130" spans="2:5">
      <c r="B130" s="52" t="s">
        <v>165</v>
      </c>
      <c r="E130" s="53">
        <f>E123+E124+E125+E126+E127+E128+E129</f>
        <v>24.404283604135895</v>
      </c>
    </row>
    <row r="131" spans="2:5">
      <c r="B131" s="52" t="s">
        <v>166</v>
      </c>
      <c r="E131" s="58">
        <f>(E123+E124+E125+E126+E127+E128)*'⚙️ 配置'!MARKUP</f>
        <v>5.7760709010339735</v>
      </c>
    </row>
    <row r="132" spans="2:5" ht="16.5">
      <c r="B132" s="57" t="s">
        <v>167</v>
      </c>
      <c r="E132" s="57">
        <f>E130+E131</f>
        <v>30.180354505169866</v>
      </c>
    </row>
  </sheetData>
  <mergeCells count="9">
    <mergeCell ref="A2:E2"/>
    <mergeCell ref="A85:E85"/>
    <mergeCell ref="A5:E5"/>
    <mergeCell ref="A37:E37"/>
    <mergeCell ref="A117:E117"/>
    <mergeCell ref="A21:E21"/>
    <mergeCell ref="A53:E53"/>
    <mergeCell ref="A69:E69"/>
    <mergeCell ref="A101:E101"/>
  </mergeCells>
  <phoneticPr fontId="2" type="noConversion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B3330-5C76-4C9E-A5F7-72A1A4E05D91}">
  <dimension ref="A1:H44"/>
  <sheetViews>
    <sheetView tabSelected="1" zoomScaleNormal="100" workbookViewId="0">
      <selection activeCell="B24" sqref="B24"/>
    </sheetView>
  </sheetViews>
  <sheetFormatPr defaultColWidth="8.6328125" defaultRowHeight="14.5"/>
  <cols>
    <col min="1" max="1" width="28" style="61" customWidth="1"/>
    <col min="2" max="2" width="18" style="61" customWidth="1"/>
    <col min="3" max="3" width="4" style="61" customWidth="1"/>
    <col min="4" max="4" width="18" style="61" customWidth="1"/>
    <col min="5" max="5" width="14" style="61" customWidth="1"/>
    <col min="6" max="6" width="18" style="61" customWidth="1"/>
    <col min="7" max="16384" width="8.6328125" style="61"/>
  </cols>
  <sheetData>
    <row r="1" spans="1:8" ht="18">
      <c r="A1" s="102" t="s">
        <v>195</v>
      </c>
      <c r="B1" s="102"/>
      <c r="C1" s="102"/>
      <c r="D1" s="102"/>
      <c r="E1" s="102"/>
      <c r="F1" s="102"/>
      <c r="G1" s="102"/>
      <c r="H1" s="102"/>
    </row>
    <row r="3" spans="1:8">
      <c r="A3" s="62" t="s">
        <v>1</v>
      </c>
      <c r="B3" s="103" t="s">
        <v>196</v>
      </c>
      <c r="C3" s="103"/>
      <c r="D3" s="103"/>
      <c r="E3" s="103"/>
      <c r="F3" s="103"/>
      <c r="G3" s="103"/>
      <c r="H3" s="103"/>
    </row>
    <row r="5" spans="1:8" ht="15.5">
      <c r="A5" s="104" t="s">
        <v>197</v>
      </c>
      <c r="B5" s="104"/>
      <c r="D5" s="104" t="s">
        <v>198</v>
      </c>
      <c r="E5" s="104"/>
      <c r="F5" s="104"/>
    </row>
    <row r="6" spans="1:8">
      <c r="A6" s="62" t="s">
        <v>199</v>
      </c>
      <c r="B6" s="63" t="s">
        <v>200</v>
      </c>
      <c r="D6" s="64" t="s">
        <v>46</v>
      </c>
      <c r="E6" s="64" t="s">
        <v>201</v>
      </c>
      <c r="F6" s="65" t="s">
        <v>297</v>
      </c>
    </row>
    <row r="7" spans="1:8">
      <c r="A7" s="62" t="s">
        <v>202</v>
      </c>
      <c r="B7" s="66">
        <v>100</v>
      </c>
      <c r="D7" s="61" t="s">
        <v>200</v>
      </c>
      <c r="E7" s="67">
        <f>灵活外箱!F17</f>
        <v>5.7000000000000002E-2</v>
      </c>
      <c r="F7" s="68">
        <f>灵活外箱!H17</f>
        <v>15.5</v>
      </c>
    </row>
    <row r="8" spans="1:8">
      <c r="A8" s="62" t="s">
        <v>203</v>
      </c>
      <c r="B8" s="63" t="s">
        <v>204</v>
      </c>
      <c r="D8" s="61" t="s">
        <v>205</v>
      </c>
      <c r="E8" s="67">
        <f>灵活外箱!F18</f>
        <v>5.7000000000000002E-2</v>
      </c>
      <c r="F8" s="68">
        <f>灵活外箱!H18</f>
        <v>14</v>
      </c>
    </row>
    <row r="9" spans="1:8">
      <c r="D9" s="61" t="s">
        <v>206</v>
      </c>
      <c r="E9" s="67">
        <f>灵活外箱!F19</f>
        <v>4.5999999999999999E-2</v>
      </c>
      <c r="F9" s="68">
        <f>灵活外箱!H19</f>
        <v>12.5</v>
      </c>
    </row>
    <row r="10" spans="1:8">
      <c r="D10" s="61" t="s">
        <v>292</v>
      </c>
      <c r="E10" s="67">
        <f>灵活外箱!F20</f>
        <v>6.7000000000000004E-2</v>
      </c>
      <c r="F10" s="68">
        <f>灵活外箱!H20</f>
        <v>15</v>
      </c>
    </row>
    <row r="11" spans="1:8">
      <c r="D11" s="61" t="s">
        <v>293</v>
      </c>
      <c r="E11" s="67">
        <f>灵活外箱!F21</f>
        <v>5.8999999999999997E-2</v>
      </c>
      <c r="F11" s="68">
        <f>灵活外箱!H21</f>
        <v>12</v>
      </c>
    </row>
    <row r="12" spans="1:8">
      <c r="D12" s="61" t="s">
        <v>294</v>
      </c>
      <c r="E12" s="67">
        <f>灵活外箱!F22</f>
        <v>5.8999999999999997E-2</v>
      </c>
      <c r="F12" s="68">
        <f>灵活外箱!H22</f>
        <v>14</v>
      </c>
    </row>
    <row r="13" spans="1:8">
      <c r="D13" s="61" t="s">
        <v>295</v>
      </c>
      <c r="E13" s="67">
        <f>灵活外箱!F23</f>
        <v>7.3999999999999996E-2</v>
      </c>
      <c r="F13" s="68">
        <f>灵活外箱!H23</f>
        <v>14.5</v>
      </c>
    </row>
    <row r="14" spans="1:8">
      <c r="D14" s="61" t="s">
        <v>296</v>
      </c>
      <c r="E14" s="67">
        <f>灵活外箱!F24</f>
        <v>7.0999999999999994E-2</v>
      </c>
      <c r="F14" s="68">
        <f>灵活外箱!H24</f>
        <v>14</v>
      </c>
    </row>
    <row r="15" spans="1:8">
      <c r="E15" s="100"/>
      <c r="F15" s="68"/>
    </row>
    <row r="16" spans="1:8">
      <c r="E16" s="100"/>
      <c r="F16" s="68"/>
    </row>
    <row r="17" spans="1:6">
      <c r="E17" s="100"/>
      <c r="F17" s="68"/>
    </row>
    <row r="18" spans="1:6">
      <c r="E18" s="100"/>
      <c r="F18" s="68"/>
    </row>
    <row r="19" spans="1:6" ht="15.5">
      <c r="A19" s="104" t="s">
        <v>207</v>
      </c>
      <c r="B19" s="104"/>
      <c r="C19" s="104"/>
      <c r="D19" s="104"/>
      <c r="E19" s="104"/>
      <c r="F19" s="104"/>
    </row>
    <row r="20" spans="1:6" ht="15.5">
      <c r="A20" s="69" t="s">
        <v>208</v>
      </c>
      <c r="B20" s="70">
        <f ca="1">INDIRECT("FOB_" &amp; SUBSTITUTE(B6,"-","_"))</f>
        <v>10.361853766617431</v>
      </c>
      <c r="D20" s="104" t="s">
        <v>209</v>
      </c>
      <c r="E20" s="104"/>
      <c r="F20" s="104"/>
    </row>
    <row r="21" spans="1:6">
      <c r="A21" s="71" t="s">
        <v>210</v>
      </c>
      <c r="B21" s="72">
        <f>VLOOKUP(B6,D7:E23,2,FALSE())</f>
        <v>5.7000000000000002E-2</v>
      </c>
      <c r="D21" s="65" t="s">
        <v>211</v>
      </c>
      <c r="E21" s="73" t="s">
        <v>212</v>
      </c>
      <c r="F21" s="65" t="s">
        <v>213</v>
      </c>
    </row>
    <row r="22" spans="1:6">
      <c r="A22" s="74" t="s">
        <v>214</v>
      </c>
      <c r="B22" s="75">
        <f>B21*B7*1.3</f>
        <v>7.41</v>
      </c>
      <c r="D22" s="76" t="s">
        <v>215</v>
      </c>
      <c r="E22" s="77">
        <f ca="1">B20</f>
        <v>10.361853766617431</v>
      </c>
      <c r="F22" s="78">
        <f ca="1">B20*B7</f>
        <v>1036.185376661743</v>
      </c>
    </row>
    <row r="23" spans="1:6">
      <c r="A23" s="74" t="s">
        <v>216</v>
      </c>
      <c r="B23" s="79">
        <f>MAX(B22*FREIGHT_CBM, LCL_MIN)</f>
        <v>889.2</v>
      </c>
      <c r="D23" s="80" t="s">
        <v>217</v>
      </c>
      <c r="E23" s="81">
        <f ca="1">B27</f>
        <v>19.26421562038405</v>
      </c>
      <c r="F23" s="82">
        <f ca="1">B27*B7</f>
        <v>1926.421562038405</v>
      </c>
    </row>
    <row r="24" spans="1:6">
      <c r="A24" s="74" t="s">
        <v>218</v>
      </c>
      <c r="B24" s="83">
        <f>B23/B7</f>
        <v>8.8920000000000012</v>
      </c>
      <c r="D24" s="84" t="s">
        <v>219</v>
      </c>
      <c r="E24" s="85">
        <f ca="1">B34</f>
        <v>23.044215620384051</v>
      </c>
      <c r="F24" s="86">
        <f ca="1">B34*B7</f>
        <v>2304.4215620384052</v>
      </c>
    </row>
    <row r="25" spans="1:6">
      <c r="A25" s="74" t="s">
        <v>220</v>
      </c>
      <c r="B25" s="79">
        <f ca="1">B20</f>
        <v>10.361853766617431</v>
      </c>
      <c r="D25" s="84" t="s">
        <v>221</v>
      </c>
      <c r="E25" s="85">
        <f ca="1">B36</f>
        <v>26.500847963441657</v>
      </c>
      <c r="F25" s="86">
        <f ca="1">B36*B7</f>
        <v>2650.0847963441656</v>
      </c>
    </row>
    <row r="26" spans="1:6">
      <c r="A26" s="74" t="s">
        <v>222</v>
      </c>
      <c r="B26" s="83">
        <f ca="1">B25*INS_RATE</f>
        <v>1.0361853766617432E-2</v>
      </c>
    </row>
    <row r="27" spans="1:6">
      <c r="A27" s="87" t="s">
        <v>223</v>
      </c>
      <c r="B27" s="88">
        <f ca="1">B20+B24+B26</f>
        <v>19.26421562038405</v>
      </c>
    </row>
    <row r="28" spans="1:6">
      <c r="A28" s="74" t="s">
        <v>224</v>
      </c>
      <c r="B28" s="79">
        <f>VLOOKUP(B8,'⚙️ 配置'!$A$18:$F$25,3,FALSE())</f>
        <v>282</v>
      </c>
    </row>
    <row r="29" spans="1:6">
      <c r="A29" s="74" t="s">
        <v>225</v>
      </c>
      <c r="B29" s="83">
        <f>B28/B7</f>
        <v>2.82</v>
      </c>
    </row>
    <row r="30" spans="1:6">
      <c r="A30" s="74" t="s">
        <v>226</v>
      </c>
      <c r="B30" s="89">
        <f>VLOOKUP(B8,'⚙️ 配置'!$A$18:$F$25,4,FALSE())</f>
        <v>0</v>
      </c>
    </row>
    <row r="31" spans="1:6">
      <c r="A31" s="74" t="s">
        <v>227</v>
      </c>
      <c r="B31" s="79">
        <f ca="1">B27*B30</f>
        <v>0</v>
      </c>
    </row>
    <row r="32" spans="1:6">
      <c r="A32" s="74" t="s">
        <v>228</v>
      </c>
      <c r="B32" s="79">
        <f>VLOOKUP(B8,'⚙️ 配置'!$A$18:$F$25,5,FALSE())</f>
        <v>96</v>
      </c>
    </row>
    <row r="33" spans="1:6">
      <c r="A33" s="74" t="s">
        <v>229</v>
      </c>
      <c r="B33" s="83">
        <f>B32/B7</f>
        <v>0.96</v>
      </c>
    </row>
    <row r="34" spans="1:6">
      <c r="A34" s="90" t="s">
        <v>230</v>
      </c>
      <c r="B34" s="91">
        <f ca="1">B27+B29+B31+B33</f>
        <v>23.044215620384051</v>
      </c>
    </row>
    <row r="35" spans="1:6">
      <c r="A35" s="71" t="s">
        <v>231</v>
      </c>
      <c r="B35" s="89">
        <f>VLOOKUP(B8,'⚙️ 配置'!$A$18:$F$25,6,FALSE())</f>
        <v>0.15</v>
      </c>
    </row>
    <row r="36" spans="1:6">
      <c r="A36" s="90" t="s">
        <v>232</v>
      </c>
      <c r="B36" s="91">
        <f ca="1">B34*(1+B35)</f>
        <v>26.500847963441657</v>
      </c>
    </row>
    <row r="38" spans="1:6">
      <c r="A38" s="62" t="s">
        <v>233</v>
      </c>
    </row>
    <row r="39" spans="1:6">
      <c r="A39" s="101" t="s">
        <v>234</v>
      </c>
      <c r="B39" s="101"/>
      <c r="C39" s="101"/>
      <c r="D39" s="101"/>
      <c r="E39" s="101"/>
      <c r="F39" s="101"/>
    </row>
    <row r="40" spans="1:6">
      <c r="A40" s="101" t="s">
        <v>235</v>
      </c>
      <c r="B40" s="101"/>
      <c r="C40" s="101"/>
      <c r="D40" s="101"/>
      <c r="E40" s="101"/>
      <c r="F40" s="101"/>
    </row>
    <row r="41" spans="1:6">
      <c r="A41" s="101" t="s">
        <v>236</v>
      </c>
      <c r="B41" s="101"/>
      <c r="C41" s="101"/>
      <c r="D41" s="101"/>
      <c r="E41" s="101"/>
      <c r="F41" s="101"/>
    </row>
    <row r="42" spans="1:6">
      <c r="A42" s="101" t="s">
        <v>237</v>
      </c>
      <c r="B42" s="101"/>
      <c r="C42" s="101"/>
      <c r="D42" s="101"/>
      <c r="E42" s="101"/>
      <c r="F42" s="101"/>
    </row>
    <row r="43" spans="1:6">
      <c r="A43" s="101" t="s">
        <v>238</v>
      </c>
      <c r="B43" s="101"/>
      <c r="C43" s="101"/>
      <c r="D43" s="101"/>
      <c r="E43" s="101"/>
      <c r="F43" s="101"/>
    </row>
    <row r="44" spans="1:6">
      <c r="A44" s="101" t="s">
        <v>239</v>
      </c>
      <c r="B44" s="101"/>
      <c r="C44" s="101"/>
      <c r="D44" s="101"/>
      <c r="E44" s="101"/>
      <c r="F44" s="101"/>
    </row>
  </sheetData>
  <mergeCells count="12">
    <mergeCell ref="A44:F44"/>
    <mergeCell ref="A1:H1"/>
    <mergeCell ref="B3:H3"/>
    <mergeCell ref="A5:B5"/>
    <mergeCell ref="D5:F5"/>
    <mergeCell ref="A19:F19"/>
    <mergeCell ref="D20:F20"/>
    <mergeCell ref="A39:F39"/>
    <mergeCell ref="A40:F40"/>
    <mergeCell ref="A41:F41"/>
    <mergeCell ref="A42:F42"/>
    <mergeCell ref="A43:F43"/>
  </mergeCells>
  <phoneticPr fontId="2" type="noConversion"/>
  <dataValidations count="2">
    <dataValidation type="list" sqref="B8" xr:uid="{A942571A-6D4E-456B-ADF0-1928F2122C49}">
      <formula1>"AU,NZ,SG,AE,HK,CH,GB,SA"</formula1>
      <formula2>0</formula2>
    </dataValidation>
    <dataValidation type="list" sqref="B6" xr:uid="{E2B097BE-FA74-49F3-8D9D-9053C485F284}">
      <formula1>"WGS-001,WGS-002,WGS-003,WGS-004,WGS-005,WGS-006,WGS-007,WGS-008"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19A4E-B78F-4787-A8C2-A0B0D68709BB}">
  <dimension ref="A1:L24"/>
  <sheetViews>
    <sheetView showGridLines="0" workbookViewId="0">
      <selection activeCell="H25" sqref="H25"/>
    </sheetView>
  </sheetViews>
  <sheetFormatPr defaultRowHeight="14"/>
  <cols>
    <col min="1" max="1" width="13" style="97" customWidth="1"/>
    <col min="2" max="2" width="16.36328125" style="97" customWidth="1"/>
    <col min="3" max="3" width="17.7265625" style="97" customWidth="1"/>
    <col min="4" max="4" width="11.6328125" style="97" customWidth="1"/>
    <col min="5" max="5" width="17.08984375" style="97" customWidth="1"/>
    <col min="6" max="6" width="11.6328125" style="97" customWidth="1"/>
    <col min="7" max="7" width="13.6328125" style="97" customWidth="1"/>
    <col min="8" max="8" width="15" style="97" customWidth="1"/>
    <col min="9" max="10" width="11.1796875" style="97" customWidth="1"/>
    <col min="11" max="12" width="14.36328125" style="97" customWidth="1"/>
    <col min="13" max="16384" width="8.7265625" style="97"/>
  </cols>
  <sheetData>
    <row r="1" spans="1:12" ht="25.5" customHeight="1">
      <c r="A1" s="114" t="s">
        <v>285</v>
      </c>
      <c r="B1" s="114" t="s">
        <v>285</v>
      </c>
      <c r="C1" s="114" t="s">
        <v>285</v>
      </c>
      <c r="D1" s="114" t="s">
        <v>285</v>
      </c>
      <c r="E1" s="114" t="s">
        <v>285</v>
      </c>
      <c r="F1" s="114" t="s">
        <v>285</v>
      </c>
      <c r="G1" s="114" t="s">
        <v>285</v>
      </c>
      <c r="H1" s="114" t="s">
        <v>285</v>
      </c>
      <c r="I1" s="114" t="s">
        <v>285</v>
      </c>
      <c r="J1" s="114" t="s">
        <v>285</v>
      </c>
      <c r="K1" s="114" t="s">
        <v>285</v>
      </c>
      <c r="L1" s="114" t="s">
        <v>285</v>
      </c>
    </row>
    <row r="2" spans="1:12" ht="25.5" customHeight="1">
      <c r="A2" s="115" t="s">
        <v>286</v>
      </c>
      <c r="B2" s="115" t="s">
        <v>286</v>
      </c>
      <c r="C2" s="115" t="s">
        <v>286</v>
      </c>
      <c r="D2" s="115" t="s">
        <v>286</v>
      </c>
      <c r="E2" s="115" t="s">
        <v>286</v>
      </c>
      <c r="F2" s="115" t="s">
        <v>286</v>
      </c>
      <c r="G2" s="115" t="s">
        <v>286</v>
      </c>
      <c r="H2" s="115" t="s">
        <v>286</v>
      </c>
      <c r="I2" s="115" t="s">
        <v>286</v>
      </c>
      <c r="J2" s="115" t="s">
        <v>286</v>
      </c>
      <c r="K2" s="115" t="s">
        <v>286</v>
      </c>
      <c r="L2" s="115" t="s">
        <v>286</v>
      </c>
    </row>
    <row r="3" spans="1:12" ht="14.5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</row>
    <row r="4" spans="1:12" ht="25.5" customHeight="1">
      <c r="A4" s="92" t="s">
        <v>240</v>
      </c>
      <c r="B4" s="92" t="s">
        <v>241</v>
      </c>
      <c r="C4" s="92" t="s">
        <v>242</v>
      </c>
      <c r="D4" s="92" t="s">
        <v>243</v>
      </c>
      <c r="E4" s="92" t="s">
        <v>244</v>
      </c>
      <c r="F4" s="92" t="s">
        <v>245</v>
      </c>
      <c r="G4" s="92" t="s">
        <v>246</v>
      </c>
      <c r="H4" s="92" t="s">
        <v>247</v>
      </c>
      <c r="I4" s="92" t="s">
        <v>287</v>
      </c>
      <c r="J4" s="92" t="s">
        <v>288</v>
      </c>
      <c r="K4" s="92" t="s">
        <v>289</v>
      </c>
      <c r="L4" s="92" t="s">
        <v>290</v>
      </c>
    </row>
    <row r="5" spans="1:12">
      <c r="A5" s="93" t="s">
        <v>248</v>
      </c>
      <c r="B5" s="93" t="s">
        <v>249</v>
      </c>
      <c r="C5" s="93" t="s">
        <v>250</v>
      </c>
      <c r="D5" s="93">
        <v>24</v>
      </c>
      <c r="E5" s="93" t="s">
        <v>256</v>
      </c>
      <c r="F5" s="94">
        <v>5.7000000000000002E-2</v>
      </c>
      <c r="G5" s="95">
        <v>11.4</v>
      </c>
      <c r="H5" s="93" t="s">
        <v>252</v>
      </c>
      <c r="I5" s="99">
        <v>1.3</v>
      </c>
      <c r="J5" s="99">
        <v>2.2000000000000002</v>
      </c>
      <c r="K5" s="99">
        <v>0.05</v>
      </c>
      <c r="L5" s="99">
        <v>0.09</v>
      </c>
    </row>
    <row r="6" spans="1:12">
      <c r="A6" s="93" t="s">
        <v>253</v>
      </c>
      <c r="B6" s="93" t="s">
        <v>254</v>
      </c>
      <c r="C6" s="93" t="s">
        <v>255</v>
      </c>
      <c r="D6" s="93">
        <v>12</v>
      </c>
      <c r="E6" s="93" t="s">
        <v>256</v>
      </c>
      <c r="F6" s="94">
        <v>5.7000000000000002E-2</v>
      </c>
      <c r="G6" s="95">
        <v>11.4</v>
      </c>
      <c r="H6" s="93" t="s">
        <v>257</v>
      </c>
      <c r="I6" s="99">
        <v>1.3</v>
      </c>
      <c r="J6" s="99">
        <v>2.2000000000000002</v>
      </c>
      <c r="K6" s="99">
        <v>0.11</v>
      </c>
      <c r="L6" s="99">
        <v>0.18</v>
      </c>
    </row>
    <row r="7" spans="1:12">
      <c r="A7" s="93" t="s">
        <v>258</v>
      </c>
      <c r="B7" s="93" t="s">
        <v>259</v>
      </c>
      <c r="C7" s="93" t="s">
        <v>260</v>
      </c>
      <c r="D7" s="93">
        <v>24</v>
      </c>
      <c r="E7" s="93" t="s">
        <v>261</v>
      </c>
      <c r="F7" s="94">
        <v>4.5999999999999999E-2</v>
      </c>
      <c r="G7" s="95">
        <v>9.1999999999999993</v>
      </c>
      <c r="H7" s="93" t="s">
        <v>262</v>
      </c>
      <c r="I7" s="99">
        <v>1.1000000000000001</v>
      </c>
      <c r="J7" s="99">
        <v>1.8</v>
      </c>
      <c r="K7" s="99">
        <v>0.05</v>
      </c>
      <c r="L7" s="99">
        <v>0.08</v>
      </c>
    </row>
    <row r="8" spans="1:12">
      <c r="A8" s="93" t="s">
        <v>263</v>
      </c>
      <c r="B8" s="93" t="s">
        <v>264</v>
      </c>
      <c r="C8" s="93" t="s">
        <v>260</v>
      </c>
      <c r="D8" s="93">
        <v>24</v>
      </c>
      <c r="E8" s="93" t="s">
        <v>265</v>
      </c>
      <c r="F8" s="94">
        <v>6.7000000000000004E-2</v>
      </c>
      <c r="G8" s="95">
        <v>13.3</v>
      </c>
      <c r="H8" s="93" t="s">
        <v>266</v>
      </c>
      <c r="I8" s="99">
        <v>1.4</v>
      </c>
      <c r="J8" s="99">
        <v>2.4</v>
      </c>
      <c r="K8" s="99">
        <v>0.06</v>
      </c>
      <c r="L8" s="99">
        <v>0.1</v>
      </c>
    </row>
    <row r="9" spans="1:12">
      <c r="A9" s="93" t="s">
        <v>267</v>
      </c>
      <c r="B9" s="93" t="s">
        <v>268</v>
      </c>
      <c r="C9" s="93" t="s">
        <v>255</v>
      </c>
      <c r="D9" s="93">
        <v>12</v>
      </c>
      <c r="E9" s="93" t="s">
        <v>269</v>
      </c>
      <c r="F9" s="94">
        <v>5.8999999999999997E-2</v>
      </c>
      <c r="G9" s="95">
        <v>11.9</v>
      </c>
      <c r="H9" s="93" t="s">
        <v>270</v>
      </c>
      <c r="I9" s="99">
        <v>1.4</v>
      </c>
      <c r="J9" s="99">
        <v>2.2999999999999998</v>
      </c>
      <c r="K9" s="99">
        <v>0.12</v>
      </c>
      <c r="L9" s="99">
        <v>0.19</v>
      </c>
    </row>
    <row r="10" spans="1:12">
      <c r="A10" s="93" t="s">
        <v>271</v>
      </c>
      <c r="B10" s="93" t="s">
        <v>272</v>
      </c>
      <c r="C10" s="93" t="s">
        <v>273</v>
      </c>
      <c r="D10" s="93">
        <v>6</v>
      </c>
      <c r="E10" s="93" t="s">
        <v>274</v>
      </c>
      <c r="F10" s="94">
        <v>5.8999999999999997E-2</v>
      </c>
      <c r="G10" s="95">
        <v>11.8</v>
      </c>
      <c r="H10" s="93" t="s">
        <v>275</v>
      </c>
      <c r="I10" s="99">
        <v>1.6</v>
      </c>
      <c r="J10" s="99">
        <v>2.6</v>
      </c>
      <c r="K10" s="99">
        <v>0.27</v>
      </c>
      <c r="L10" s="99">
        <v>0.43</v>
      </c>
    </row>
    <row r="11" spans="1:12">
      <c r="A11" s="93" t="s">
        <v>276</v>
      </c>
      <c r="B11" s="93" t="s">
        <v>277</v>
      </c>
      <c r="C11" s="93" t="s">
        <v>278</v>
      </c>
      <c r="D11" s="93">
        <v>8</v>
      </c>
      <c r="E11" s="93" t="s">
        <v>279</v>
      </c>
      <c r="F11" s="94">
        <v>7.3999999999999996E-2</v>
      </c>
      <c r="G11" s="95">
        <v>14.7</v>
      </c>
      <c r="H11" s="93" t="s">
        <v>280</v>
      </c>
      <c r="I11" s="99">
        <v>1.7</v>
      </c>
      <c r="J11" s="99">
        <v>2.8</v>
      </c>
      <c r="K11" s="99">
        <v>0.21</v>
      </c>
      <c r="L11" s="99">
        <v>0.35</v>
      </c>
    </row>
    <row r="12" spans="1:12">
      <c r="A12" s="93" t="s">
        <v>281</v>
      </c>
      <c r="B12" s="93" t="s">
        <v>282</v>
      </c>
      <c r="C12" s="93" t="s">
        <v>273</v>
      </c>
      <c r="D12" s="93">
        <v>6</v>
      </c>
      <c r="E12" s="93" t="s">
        <v>283</v>
      </c>
      <c r="F12" s="94">
        <v>7.0999999999999994E-2</v>
      </c>
      <c r="G12" s="95">
        <v>14.3</v>
      </c>
      <c r="H12" s="93" t="s">
        <v>284</v>
      </c>
      <c r="I12" s="99">
        <v>1.8</v>
      </c>
      <c r="J12" s="99">
        <v>3</v>
      </c>
      <c r="K12" s="99">
        <v>0.3</v>
      </c>
      <c r="L12" s="99">
        <v>0.5</v>
      </c>
    </row>
    <row r="15" spans="1:12">
      <c r="A15" s="116" t="s">
        <v>291</v>
      </c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</row>
    <row r="16" spans="1:12" ht="26">
      <c r="A16" s="92" t="s">
        <v>240</v>
      </c>
      <c r="B16" s="92" t="s">
        <v>241</v>
      </c>
      <c r="C16" s="92" t="s">
        <v>242</v>
      </c>
      <c r="D16" s="92" t="s">
        <v>243</v>
      </c>
      <c r="E16" s="92" t="s">
        <v>244</v>
      </c>
      <c r="F16" s="92" t="s">
        <v>245</v>
      </c>
      <c r="G16" s="92" t="s">
        <v>246</v>
      </c>
      <c r="H16" s="92" t="s">
        <v>247</v>
      </c>
      <c r="I16" s="92" t="s">
        <v>287</v>
      </c>
      <c r="J16" s="92" t="s">
        <v>288</v>
      </c>
      <c r="K16" s="92" t="s">
        <v>289</v>
      </c>
      <c r="L16" s="92" t="s">
        <v>290</v>
      </c>
    </row>
    <row r="17" spans="1:12">
      <c r="A17" s="93" t="s">
        <v>248</v>
      </c>
      <c r="B17" s="93" t="s">
        <v>249</v>
      </c>
      <c r="C17" s="93" t="s">
        <v>250</v>
      </c>
      <c r="D17" s="93">
        <v>24</v>
      </c>
      <c r="E17" s="93" t="s">
        <v>251</v>
      </c>
      <c r="F17" s="94">
        <v>5.7000000000000002E-2</v>
      </c>
      <c r="G17" s="95">
        <v>11.4</v>
      </c>
      <c r="H17" s="93">
        <v>15.5</v>
      </c>
      <c r="I17" s="99">
        <v>1.3</v>
      </c>
      <c r="J17" s="99">
        <v>2.2000000000000002</v>
      </c>
      <c r="K17" s="99">
        <v>0.05</v>
      </c>
      <c r="L17" s="99">
        <v>0.09</v>
      </c>
    </row>
    <row r="18" spans="1:12">
      <c r="A18" s="93" t="s">
        <v>253</v>
      </c>
      <c r="B18" s="93" t="s">
        <v>254</v>
      </c>
      <c r="C18" s="93" t="s">
        <v>255</v>
      </c>
      <c r="D18" s="93">
        <v>12</v>
      </c>
      <c r="E18" s="93" t="s">
        <v>256</v>
      </c>
      <c r="F18" s="94">
        <v>5.7000000000000002E-2</v>
      </c>
      <c r="G18" s="95">
        <v>11.4</v>
      </c>
      <c r="H18" s="93">
        <v>14</v>
      </c>
      <c r="I18" s="99">
        <v>1.3</v>
      </c>
      <c r="J18" s="99">
        <v>2.2000000000000002</v>
      </c>
      <c r="K18" s="99">
        <v>0.11</v>
      </c>
      <c r="L18" s="99">
        <v>0.18</v>
      </c>
    </row>
    <row r="19" spans="1:12">
      <c r="A19" s="93" t="s">
        <v>258</v>
      </c>
      <c r="B19" s="93" t="s">
        <v>259</v>
      </c>
      <c r="C19" s="93" t="s">
        <v>260</v>
      </c>
      <c r="D19" s="93">
        <v>24</v>
      </c>
      <c r="E19" s="93" t="s">
        <v>261</v>
      </c>
      <c r="F19" s="94">
        <v>4.5999999999999999E-2</v>
      </c>
      <c r="G19" s="95">
        <v>9.1999999999999993</v>
      </c>
      <c r="H19" s="93">
        <v>12.5</v>
      </c>
      <c r="I19" s="99">
        <v>1.1000000000000001</v>
      </c>
      <c r="J19" s="99">
        <v>1.8</v>
      </c>
      <c r="K19" s="99">
        <v>0.05</v>
      </c>
      <c r="L19" s="99">
        <v>0.08</v>
      </c>
    </row>
    <row r="20" spans="1:12">
      <c r="A20" s="93" t="s">
        <v>263</v>
      </c>
      <c r="B20" s="93" t="s">
        <v>264</v>
      </c>
      <c r="C20" s="93" t="s">
        <v>260</v>
      </c>
      <c r="D20" s="93">
        <v>24</v>
      </c>
      <c r="E20" s="93" t="s">
        <v>265</v>
      </c>
      <c r="F20" s="94">
        <v>6.7000000000000004E-2</v>
      </c>
      <c r="G20" s="95">
        <v>13.3</v>
      </c>
      <c r="H20" s="93">
        <v>15</v>
      </c>
      <c r="I20" s="99">
        <v>1.4</v>
      </c>
      <c r="J20" s="99">
        <v>2.4</v>
      </c>
      <c r="K20" s="99">
        <v>0.06</v>
      </c>
      <c r="L20" s="99">
        <v>0.1</v>
      </c>
    </row>
    <row r="21" spans="1:12">
      <c r="A21" s="93" t="s">
        <v>267</v>
      </c>
      <c r="B21" s="93" t="s">
        <v>268</v>
      </c>
      <c r="C21" s="93" t="s">
        <v>255</v>
      </c>
      <c r="D21" s="93">
        <v>12</v>
      </c>
      <c r="E21" s="93" t="s">
        <v>269</v>
      </c>
      <c r="F21" s="94">
        <v>5.8999999999999997E-2</v>
      </c>
      <c r="G21" s="95">
        <v>11.9</v>
      </c>
      <c r="H21" s="93">
        <v>12</v>
      </c>
      <c r="I21" s="99">
        <v>1.4</v>
      </c>
      <c r="J21" s="99">
        <v>2.2999999999999998</v>
      </c>
      <c r="K21" s="99">
        <v>0.12</v>
      </c>
      <c r="L21" s="99">
        <v>0.19</v>
      </c>
    </row>
    <row r="22" spans="1:12">
      <c r="A22" s="93" t="s">
        <v>271</v>
      </c>
      <c r="B22" s="93" t="s">
        <v>272</v>
      </c>
      <c r="C22" s="93" t="s">
        <v>273</v>
      </c>
      <c r="D22" s="93">
        <v>6</v>
      </c>
      <c r="E22" s="93" t="s">
        <v>274</v>
      </c>
      <c r="F22" s="94">
        <v>5.8999999999999997E-2</v>
      </c>
      <c r="G22" s="95">
        <v>11.8</v>
      </c>
      <c r="H22" s="93">
        <v>14</v>
      </c>
      <c r="I22" s="99">
        <v>1.6</v>
      </c>
      <c r="J22" s="99">
        <v>2.6</v>
      </c>
      <c r="K22" s="99">
        <v>0.27</v>
      </c>
      <c r="L22" s="99">
        <v>0.43</v>
      </c>
    </row>
    <row r="23" spans="1:12">
      <c r="A23" s="93" t="s">
        <v>276</v>
      </c>
      <c r="B23" s="93" t="s">
        <v>277</v>
      </c>
      <c r="C23" s="93" t="s">
        <v>278</v>
      </c>
      <c r="D23" s="93">
        <v>8</v>
      </c>
      <c r="E23" s="93" t="s">
        <v>279</v>
      </c>
      <c r="F23" s="94">
        <v>7.3999999999999996E-2</v>
      </c>
      <c r="G23" s="95">
        <v>14.7</v>
      </c>
      <c r="H23" s="93">
        <v>14.5</v>
      </c>
      <c r="I23" s="99">
        <v>1.7</v>
      </c>
      <c r="J23" s="99">
        <v>2.8</v>
      </c>
      <c r="K23" s="99">
        <v>0.21</v>
      </c>
      <c r="L23" s="99">
        <v>0.35</v>
      </c>
    </row>
    <row r="24" spans="1:12">
      <c r="A24" s="93" t="s">
        <v>281</v>
      </c>
      <c r="B24" s="93" t="s">
        <v>282</v>
      </c>
      <c r="C24" s="93" t="s">
        <v>273</v>
      </c>
      <c r="D24" s="93">
        <v>6</v>
      </c>
      <c r="E24" s="93" t="s">
        <v>283</v>
      </c>
      <c r="F24" s="94">
        <v>7.0999999999999994E-2</v>
      </c>
      <c r="G24" s="95">
        <v>14.3</v>
      </c>
      <c r="H24" s="93">
        <v>14</v>
      </c>
      <c r="I24" s="99">
        <v>1.8</v>
      </c>
      <c r="J24" s="99">
        <v>3</v>
      </c>
      <c r="K24" s="99">
        <v>0.3</v>
      </c>
      <c r="L24" s="99">
        <v>0.5</v>
      </c>
    </row>
  </sheetData>
  <mergeCells count="3">
    <mergeCell ref="A1:L1"/>
    <mergeCell ref="A2:L2"/>
    <mergeCell ref="A15:L15"/>
  </mergeCells>
  <phoneticPr fontId="2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14</vt:i4>
      </vt:variant>
    </vt:vector>
  </HeadingPairs>
  <TitlesOfParts>
    <vt:vector size="19" baseType="lpstr">
      <vt:lpstr>⚙️ 配置</vt:lpstr>
      <vt:lpstr>📦 单品成本</vt:lpstr>
      <vt:lpstr>🎁 套件FOB</vt:lpstr>
      <vt:lpstr>💰 完整报价</vt:lpstr>
      <vt:lpstr>灵活外箱</vt:lpstr>
      <vt:lpstr>'⚙️ 配置'!EXRATE</vt:lpstr>
      <vt:lpstr>FOB_WGS_001</vt:lpstr>
      <vt:lpstr>FOB_WGS_002</vt:lpstr>
      <vt:lpstr>FOB_WGS_003</vt:lpstr>
      <vt:lpstr>FOB_WGS_004</vt:lpstr>
      <vt:lpstr>FOB_WGS_005</vt:lpstr>
      <vt:lpstr>FOB_WGS_006</vt:lpstr>
      <vt:lpstr>FOB_WGS_007</vt:lpstr>
      <vt:lpstr>FOB_WGS_008</vt:lpstr>
      <vt:lpstr>'⚙️ 配置'!FREIGHT_CBM</vt:lpstr>
      <vt:lpstr>'⚙️ 配置'!INS_RATE</vt:lpstr>
      <vt:lpstr>'⚙️ 配置'!LCL_MIN</vt:lpstr>
      <vt:lpstr>'⚙️ 配置'!MARKUP</vt:lpstr>
      <vt:lpstr>'⚙️ 配置'!VATRATE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Lui</dc:creator>
  <cp:lastModifiedBy>Johnny Lui</cp:lastModifiedBy>
  <dcterms:created xsi:type="dcterms:W3CDTF">2026-06-09T11:38:03Z</dcterms:created>
  <dcterms:modified xsi:type="dcterms:W3CDTF">2026-06-10T09:09:17Z</dcterms:modified>
</cp:coreProperties>
</file>