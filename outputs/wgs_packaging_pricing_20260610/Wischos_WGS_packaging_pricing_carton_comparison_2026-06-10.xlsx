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9beee6d4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673162c32bc49d6"/>
    <x:sheet xmlns:r="http://schemas.openxmlformats.org/officeDocument/2006/relationships" name="包装报价" sheetId="2" r:id="Rd902bc77263a486b"/>
    <x:sheet xmlns:r="http://schemas.openxmlformats.org/officeDocument/2006/relationships" name="EVA开槽" sheetId="3" r:id="R10dca8b9e9a04aff"/>
    <x:sheet xmlns:r="http://schemas.openxmlformats.org/officeDocument/2006/relationships" name="灵活外箱" sheetId="4" r:id="R1d73b3a469994bdb"/>
    <x:sheet xmlns:r="http://schemas.openxmlformats.org/officeDocument/2006/relationships" name="统一外箱" sheetId="5" r:id="Rac7bedc8d2024196"/>
    <x:sheet xmlns:r="http://schemas.openxmlformats.org/officeDocument/2006/relationships" name="询价说明" sheetId="6" r:id="R5059fa170b11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$0"/>
    <x:numFmt numFmtId="202" formatCode="0.000"/>
    <x:numFmt numFmtId="203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1"/>
      <x:color rgb="FF713F12"/>
      <x:name val="Carlito"/>
    </x:font>
    <x:font>
      <x:b/>
      <x:sz val="11"/>
      <x:color rgb="FFFFFFFF"/>
      <x:name val="Carlito"/>
    </x:font>
    <x:font>
      <x:sz val="10"/>
      <x:color rgb="FF1155C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6F8FA"/>
      </x:patternFill>
    </x:fill>
    <x:fill>
      <x:patternFill patternType="solid">
        <x:fgColor rgb="FF0F766E"/>
      </x:patternFill>
    </x:fill>
    <x:fill>
      <x:patternFill patternType="solid">
        <x:fgColor rgb="FFF7E5B7"/>
      </x:patternFill>
    </x:fill>
    <x:fill>
      <x:patternFill patternType="solid">
        <x:fgColor rgb="FFFFF8E6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6C76E"/>
      </x:left>
      <x:right style="thin">
        <x:color rgb="FFE6C76E"/>
      </x:right>
      <x:top style="thin">
        <x:color rgb="FFE6C76E"/>
      </x:top>
      <x:bottom style="thin">
        <x:color rgb="FFE6C76E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200" fontId="0" fillId="0" borderId="1" xfId="0" applyNumberFormat="1" applyFont="1" applyFill="1" applyBorder="1"/>
    <x:xf numFmtId="201" fontId="3" fillId="0" borderId="1" xfId="0" applyNumberFormat="1" applyFont="1" applyFill="1" applyBorder="1"/>
    <x:xf numFmtId="201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/>
    <x:xf numFmtId="203" fontId="3" fillId="0" borderId="1" xfId="0" applyNumberFormat="1" applyFont="1" applyFill="1" applyBorder="1"/>
    <x:xf numFmtId="202" fontId="3" fillId="0" borderId="1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09a04d4e749cf" /><Relationship Type="http://schemas.openxmlformats.org/officeDocument/2006/relationships/theme" Target="/xl/theme/theme1.xml" Id="R0984e6a8a1864d11" /><Relationship Type="http://schemas.openxmlformats.org/officeDocument/2006/relationships/sharedStrings" Target="/xl/sharedStrings.xml" Id="Ra5d4dccb0d644ae6" /><Relationship Type="http://schemas.openxmlformats.org/officeDocument/2006/relationships/worksheet" Target="/xl/worksheets/sheet1.xml" Id="Ra673162c32bc49d6" /><Relationship Type="http://schemas.openxmlformats.org/officeDocument/2006/relationships/worksheet" Target="/xl/worksheets/sheet2.xml" Id="Rd902bc77263a486b" /><Relationship Type="http://schemas.openxmlformats.org/officeDocument/2006/relationships/worksheet" Target="/xl/worksheets/sheet3.xml" Id="R10dca8b9e9a04aff" /><Relationship Type="http://schemas.openxmlformats.org/officeDocument/2006/relationships/worksheet" Target="/xl/worksheets/sheet4.xml" Id="R1d73b3a469994bdb" /><Relationship Type="http://schemas.openxmlformats.org/officeDocument/2006/relationships/worksheet" Target="/xl/worksheets/sheet5.xml" Id="Rac7bedc8d2024196" /><Relationship Type="http://schemas.openxmlformats.org/officeDocument/2006/relationships/worksheet" Target="/xl/worksheets/sheet6.xml" Id="R5059fa170b1144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07c52fb4b64d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Unit Packaging Cost Midpoint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Midpoint unit packaging $</c:v>
          </c:tx>
          <c:cat>
            <c:strRef>
              <c:f>'总览'!$F$16:$F$23</c:f>
              <c:strCache>
                <c:ptCount val="0"/>
              </c:strCache>
            </c:strRef>
          </c:cat>
          <c:val>
            <c:numRef>
              <c:f>'总览'!$G$16:$G$23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07c52fb4b64d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Table" displayName="OverviewTable" ref="A4:N12" headerRowCount="1">
  <x:autoFilter ref="A4:N12"/>
  <x:tableColumns count="14">
    <x:tableColumn id="1" name="Set"/>
    <x:tableColumn id="2" name="Name"/>
    <x:tableColumn id="3" name="Gift box size mm"/>
    <x:tableColumn id="4" name="EVA size mm"/>
    <x:tableColumn id="5" name="Box type"/>
    <x:tableColumn id="6" name="Unit pack min $"/>
    <x:tableColumn id="7" name="Unit pack max $"/>
    <x:tableColumn id="8" name="Midpoint $"/>
    <x:tableColumn id="9" name="EVA tooling $"/>
    <x:tableColumn id="10" name="Flexible sets/ctn"/>
    <x:tableColumn id="11" name="Flexible carton mm"/>
    <x:tableColumn id="12" name="Flexible gross"/>
    <x:tableColumn id="13" name="Unified sets/ctn"/>
    <x:tableColumn id="14" name="Unified gross"/>
  </x:tableColumns>
  <x:tableStyleInfo name="TableStyleMedium2" showRowStripes="1"/>
</x:table>
</file>

<file path=xl/tables/table2.xml><?xml version="1.0" encoding="utf-8"?>
<x:table xmlns:x="http://schemas.openxmlformats.org/spreadsheetml/2006/main" id="2" name="PricingTable" displayName="PricingTable" ref="A4:P12" headerRowCount="1">
  <x:autoFilter ref="A4:P12"/>
  <x:tableColumns count="16">
    <x:tableColumn id="1" name="Set"/>
    <x:tableColumn id="2" name="Name"/>
    <x:tableColumn id="3" name="Gift box outer size mm"/>
    <x:tableColumn id="4" name="EVA board size mm"/>
    <x:tableColumn id="5" name="Box type"/>
    <x:tableColumn id="6" name="Gift box min $"/>
    <x:tableColumn id="7" name="Gift box max $"/>
    <x:tableColumn id="8" name="EVA min $"/>
    <x:tableColumn id="9" name="EVA max $"/>
    <x:tableColumn id="10" name="EVA tooling min $"/>
    <x:tableColumn id="11" name="EVA tooling max $"/>
    <x:tableColumn id="12" name="Carton share min $"/>
    <x:tableColumn id="13" name="Carton share max $"/>
    <x:tableColumn id="14" name="Unit packaging min $"/>
    <x:tableColumn id="15" name="Unit packaging max $"/>
    <x:tableColumn id="16" name="Midpoint $"/>
  </x:tableColumns>
  <x:tableStyleInfo name="TableStyleMedium2" showRowStripes="1"/>
</x:table>
</file>

<file path=xl/tables/table3.xml><?xml version="1.0" encoding="utf-8"?>
<x:table xmlns:x="http://schemas.openxmlformats.org/spreadsheetml/2006/main" id="3" name="EvaSlotTable" displayName="EvaSlotTable" ref="A4:E29" headerRowCount="1">
  <x:autoFilter ref="A4:E29"/>
  <x:tableColumns count="5">
    <x:tableColumn id="1" name="Set"/>
    <x:tableColumn id="2" name="Item"/>
    <x:tableColumn id="3" name="Product calculation size mm"/>
    <x:tableColumn id="4" name="Recommended EVA slot mm"/>
    <x:tableColumn id="5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FlexibleCartonTable" displayName="FlexibleCartonTable" ref="A4:L12" headerRowCount="1">
  <x:autoFilter ref="A4:L12"/>
  <x:tableColumns count="12">
    <x:tableColumn id="1" name="Set"/>
    <x:tableColumn id="2" name="Gift box size mm"/>
    <x:tableColumn id="3" name="Packing layout"/>
    <x:tableColumn id="4" name="Sets/carton"/>
    <x:tableColumn id="5" name="Carton size mm"/>
    <x:tableColumn id="6" name="CBM/carton"/>
    <x:tableColumn id="7" name="Dim weight /5000 kg"/>
    <x:tableColumn id="8" name="Gross weight/carton"/>
    <x:tableColumn id="9" name="Carton min $"/>
    <x:tableColumn id="10" name="Carton max $"/>
    <x:tableColumn id="11" name="Carton cost/set min $"/>
    <x:tableColumn id="12" name="Carton cost/set max $"/>
  </x:tableColumns>
  <x:tableStyleInfo name="TableStyleMedium2" showRowStripes="1"/>
</x:table>
</file>

<file path=xl/tables/table5.xml><?xml version="1.0" encoding="utf-8"?>
<x:table xmlns:x="http://schemas.openxmlformats.org/spreadsheetml/2006/main" id="5" name="UnifiedCartonTable" displayName="UnifiedCartonTable" ref="A4:F12" headerRowCount="1">
  <x:autoFilter ref="A4:F12"/>
  <x:tableColumns count="6">
    <x:tableColumn id="1" name="Set"/>
    <x:tableColumn id="2" name="Suggested sets/carton"/>
    <x:tableColumn id="3" name="Practical layout"/>
    <x:tableColumn id="4" name="Estimated gross weight"/>
    <x:tableColumn id="5" name="Space utilization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ieredCartonTable" displayName="TieredCartonTable" ref="A16:D19" headerRowCount="1">
  <x:autoFilter ref="A16:D19"/>
  <x:tableColumns count="4">
    <x:tableColumn id="1" name="Carton tier"/>
    <x:tableColumn id="2" name="Size mm"/>
    <x:tableColumn id="3" name="Recommended sets"/>
    <x:tableColumn id="4" name="Wh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77f58a19114964" /><Relationship Type="http://schemas.openxmlformats.org/officeDocument/2006/relationships/table" Target="/xl/tables/table1.xml" Id="R7ff174073f9f47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07973bbb3e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c284f1a740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75367c2088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e5d5dc6c4845ea" /><Relationship Type="http://schemas.openxmlformats.org/officeDocument/2006/relationships/table" Target="/xl/tables/table6.xml" Id="R18fcd054b9c645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7.5" hidden="0" customWidth="1"/>
    <x:col min="3" max="3" width="14.75" hidden="0" customWidth="1"/>
    <x:col min="4" max="4" width="14.75" hidden="0" customWidth="1"/>
    <x:col min="5" max="5" width="18.1299991607666" hidden="0" customWidth="1"/>
    <x:col min="6" max="6" width="11" hidden="0" customWidth="1"/>
    <x:col min="7" max="7" width="11" hidden="0" customWidth="1"/>
    <x:col min="8" max="8" width="10.630000114440918" hidden="0" customWidth="1"/>
    <x:col min="9" max="9" width="11.880000114440918" hidden="0" customWidth="1"/>
    <x:col min="10" max="10" width="11.25" hidden="0" customWidth="1"/>
    <x:col min="11" max="11" width="14.75" hidden="0" customWidth="1"/>
    <x:col min="12" max="12" width="12" hidden="0" customWidth="1"/>
    <x:col min="13" max="13" width="11.25" hidden="0" customWidth="1"/>
    <x:col min="14" max="14" width="11.5" hidden="0" customWidth="1"/>
  </x:cols>
  <x:sheetData>
    <x:row r="1" ht="25.5" customHeight="1">
      <x:c r="A1" s="4" t="str">
        <x:v>Wischos WGS Packaging Pricing &amp; Carton Summary</x:v>
      </x:c>
      <x:c r="B1" s="4" t="str">
        <x:v>Wischos WGS Packaging Pricing &amp; Carton Summary</x:v>
      </x:c>
      <x:c r="C1" s="4" t="str">
        <x:v>Wischos WGS Packaging Pricing &amp; Carton Summary</x:v>
      </x:c>
      <x:c r="D1" s="4" t="str">
        <x:v>Wischos WGS Packaging Pricing &amp; Carton Summary</x:v>
      </x:c>
      <x:c r="E1" s="4" t="str">
        <x:v>Wischos WGS Packaging Pricing &amp; Carton Summary</x:v>
      </x:c>
      <x:c r="F1" s="4" t="str">
        <x:v>Wischos WGS Packaging Pricing &amp; Carton Summary</x:v>
      </x:c>
      <x:c r="G1" s="4" t="str">
        <x:v>Wischos WGS Packaging Pricing &amp; Carton Summary</x:v>
      </x:c>
      <x:c r="H1" s="4" t="str">
        <x:v>Wischos WGS Packaging Pricing &amp; Carton Summary</x:v>
      </x:c>
      <x:c r="I1" s="4" t="str">
        <x:v>Wischos WGS Packaging Pricing &amp; Carton Summary</x:v>
      </x:c>
      <x:c r="J1" s="4" t="str">
        <x:v>Wischos WGS Packaging Pricing &amp; Carton Summary</x:v>
      </x:c>
      <x:c r="K1" s="4" t="str">
        <x:v>Wischos WGS Packaging Pricing &amp; Carton Summary</x:v>
      </x:c>
      <x:c r="L1" s="4" t="str">
        <x:v>Wischos WGS Packaging Pricing &amp; Carton Summary</x:v>
      </x:c>
      <x:c r="M1" s="4" t="str">
        <x:v>Wischos WGS Packaging Pricing &amp; Carton Summary</x:v>
      </x:c>
      <x:c r="N1" s="4" t="str">
        <x:v>Wischos WGS Packaging Pricing &amp; Carton Summary</x:v>
      </x:c>
    </x:row>
    <x:row r="2" ht="25.5" customHeight="1">
      <x:c r="A2" s="9" t="str">
        <x:v>Pricing ranges are reference estimates for RFQ. Unit packaging cost excludes products and excludes EVA tooling amortization.</x:v>
      </x:c>
      <x:c r="B2" s="9" t="str">
        <x:v>Pricing ranges are reference estimates for RFQ. Unit packaging cost excludes products and excludes EVA tooling amortization.</x:v>
      </x:c>
      <x:c r="C2" s="9" t="str">
        <x:v>Pricing ranges are reference estimates for RFQ. Unit packaging cost excludes products and excludes EVA tooling amortization.</x:v>
      </x:c>
      <x:c r="D2" s="9" t="str">
        <x:v>Pricing ranges are reference estimates for RFQ. Unit packaging cost excludes products and excludes EVA tooling amortization.</x:v>
      </x:c>
      <x:c r="E2" s="9" t="str">
        <x:v>Pricing ranges are reference estimates for RFQ. Unit packaging cost excludes products and excludes EVA tooling amortization.</x:v>
      </x:c>
      <x:c r="F2" s="9" t="str">
        <x:v>Pricing ranges are reference estimates for RFQ. Unit packaging cost excludes products and excludes EVA tooling amortization.</x:v>
      </x:c>
      <x:c r="G2" s="9" t="str">
        <x:v>Pricing ranges are reference estimates for RFQ. Unit packaging cost excludes products and excludes EVA tooling amortization.</x:v>
      </x:c>
      <x:c r="H2" s="9" t="str">
        <x:v>Pricing ranges are reference estimates for RFQ. Unit packaging cost excludes products and excludes EVA tooling amortization.</x:v>
      </x:c>
      <x:c r="I2" s="9" t="str">
        <x:v>Pricing ranges are reference estimates for RFQ. Unit packaging cost excludes products and excludes EVA tooling amortization.</x:v>
      </x:c>
      <x:c r="J2" s="9" t="str">
        <x:v>Pricing ranges are reference estimates for RFQ. Unit packaging cost excludes products and excludes EVA tooling amortization.</x:v>
      </x:c>
      <x:c r="K2" s="9" t="str">
        <x:v>Pricing ranges are reference estimates for RFQ. Unit packaging cost excludes products and excludes EVA tooling amortization.</x:v>
      </x:c>
      <x:c r="L2" s="9" t="str">
        <x:v>Pricing ranges are reference estimates for RFQ. Unit packaging cost excludes products and excludes EVA tooling amortization.</x:v>
      </x:c>
      <x:c r="M2" s="9" t="str">
        <x:v>Pricing ranges are reference estimates for RFQ. Unit packaging cost excludes products and excludes EVA tooling amortization.</x:v>
      </x:c>
      <x:c r="N2" s="9" t="str">
        <x:v>Pricing ranges are reference estimates for RFQ. Unit packaging cost excludes products and excludes EVA tooling amortization.</x:v>
      </x:c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 ht="25.5" customHeight="1">
      <x:c r="A4" s="16" t="str">
        <x:v>Set</x:v>
      </x:c>
      <x:c r="B4" s="16" t="str">
        <x:v>Name</x:v>
      </x:c>
      <x:c r="C4" s="16" t="str">
        <x:v>Gift box size mm</x:v>
      </x:c>
      <x:c r="D4" s="16" t="str">
        <x:v>EVA size mm</x:v>
      </x:c>
      <x:c r="E4" s="16" t="str">
        <x:v>Box type</x:v>
      </x:c>
      <x:c r="F4" s="16" t="str">
        <x:v>Unit pack min $</x:v>
      </x:c>
      <x:c r="G4" s="16" t="str">
        <x:v>Unit pack max $</x:v>
      </x:c>
      <x:c r="H4" s="16" t="str">
        <x:v>Midpoint $</x:v>
      </x:c>
      <x:c r="I4" s="16" t="str">
        <x:v>EVA tooling $</x:v>
      </x:c>
      <x:c r="J4" s="16" t="str">
        <x:v>Flexible sets/ctn</x:v>
      </x:c>
      <x:c r="K4" s="16" t="str">
        <x:v>Flexible carton mm</x:v>
      </x:c>
      <x:c r="L4" s="16" t="str">
        <x:v>Flexible gross</x:v>
      </x:c>
      <x:c r="M4" s="16" t="str">
        <x:v>Unified sets/ctn</x:v>
      </x:c>
      <x:c r="N4" s="16" t="str">
        <x:v>Unified gross</x:v>
      </x:c>
    </x:row>
    <x:row r="5">
      <x:c r="A5" s="38" t="str">
        <x:v>WGS-001-3</x:v>
      </x:c>
      <x:c r="B5" s="38" t="str">
        <x:v>The Desk Starter</x:v>
      </x:c>
      <x:c r="C5" s="38" t="str">
        <x:v>285 x 165 x 40</x:v>
      </x:c>
      <x:c r="D5" s="38" t="str">
        <x:v>270 x 150 x 25</x:v>
      </x:c>
      <x:c r="E5" s="38" t="str">
        <x:v>Drawer rigid box</x:v>
      </x:c>
      <x:c r="F5" s="39" t="n">
        <x:v>2.6</x:v>
      </x:c>
      <x:c r="G5" s="39" t="n">
        <x:v>4.1</x:v>
      </x:c>
      <x:c r="H5" s="39" t="n">
        <x:v>3.3499999999999996</x:v>
      </x:c>
      <x:c r="I5" s="38" t="str">
        <x:v>100-180</x:v>
      </x:c>
      <x:c r="J5" s="38" t="n">
        <x:v>24</x:v>
      </x:c>
      <x:c r="K5" s="38" t="str">
        <x:v>610 x 520 x 180</x:v>
      </x:c>
      <x:c r="L5" s="38" t="str">
        <x:v>15-16kg</x:v>
      </x:c>
      <x:c r="M5" s="38" t="n">
        <x:v>30</x:v>
      </x:c>
      <x:c r="N5" s="38" t="str">
        <x:v>18-20kg</x:v>
      </x:c>
    </x:row>
    <x:row r="6">
      <x:c r="A6" s="38" t="str">
        <x:v>WGS-002-3</x:v>
      </x:c>
      <x:c r="B6" s="38" t="str">
        <x:v>The Mechanical Desk</x:v>
      </x:c>
      <x:c r="C6" s="38" t="str">
        <x:v>295 x 230 x 50</x:v>
      </x:c>
      <x:c r="D6" s="38" t="str">
        <x:v>275 x 210 x 30</x:v>
      </x:c>
      <x:c r="E6" s="38" t="str">
        <x:v>Magnetic rigid box</x:v>
      </x:c>
      <x:c r="F6" s="39" t="n">
        <x:v>3.45</x:v>
      </x:c>
      <x:c r="G6" s="39" t="n">
        <x:v>5.5</x:v>
      </x:c>
      <x:c r="H6" s="39" t="n">
        <x:v>4.475</x:v>
      </x:c>
      <x:c r="I6" s="38" t="str">
        <x:v>120-220</x:v>
      </x:c>
      <x:c r="J6" s="38" t="n">
        <x:v>12</x:v>
      </x:c>
      <x:c r="K6" s="38" t="str">
        <x:v>610 x 520 x 180</x:v>
      </x:c>
      <x:c r="L6" s="38" t="str">
        <x:v>13-14.5kg</x:v>
      </x:c>
      <x:c r="M6" s="38" t="n">
        <x:v>16</x:v>
      </x:c>
      <x:c r="N6" s="38" t="str">
        <x:v>16-18kg</x:v>
      </x:c>
    </x:row>
    <x:row r="7">
      <x:c r="A7" s="38" t="str">
        <x:v>WGS-003-3</x:v>
      </x:c>
      <x:c r="B7" s="38" t="str">
        <x:v>The Pocket Three</x:v>
      </x:c>
      <x:c r="C7" s="38" t="str">
        <x:v>200 x 190 x 38</x:v>
      </x:c>
      <x:c r="D7" s="38" t="str">
        <x:v>180 x 165 x 22</x:v>
      </x:c>
      <x:c r="E7" s="38" t="str">
        <x:v>Small magnetic rigid box</x:v>
      </x:c>
      <x:c r="F7" s="39" t="n">
        <x:v>1.75</x:v>
      </x:c>
      <x:c r="G7" s="39" t="n">
        <x:v>2.95</x:v>
      </x:c>
      <x:c r="H7" s="39" t="n">
        <x:v>2.35</x:v>
      </x:c>
      <x:c r="I7" s="38" t="str">
        <x:v>80-150</x:v>
      </x:c>
      <x:c r="J7" s="38" t="n">
        <x:v>24</x:v>
      </x:c>
      <x:c r="K7" s="38" t="str">
        <x:v>610 x 420 x 180</x:v>
      </x:c>
      <x:c r="L7" s="38" t="str">
        <x:v>11-13kg</x:v>
      </x:c>
      <x:c r="M7" s="38" t="n">
        <x:v>36</x:v>
      </x:c>
      <x:c r="N7" s="38" t="str">
        <x:v>17-20kg</x:v>
      </x:c>
    </x:row>
    <x:row r="8">
      <x:c r="A8" s="38" t="str">
        <x:v>WGS-004-3</x:v>
      </x:c>
      <x:c r="B8" s="38" t="str">
        <x:v>The Field EDC</x:v>
      </x:c>
      <x:c r="C8" s="38" t="str">
        <x:v>240 x 180 x 45</x:v>
      </x:c>
      <x:c r="D8" s="38" t="str">
        <x:v>220 x 160 x 28</x:v>
      </x:c>
      <x:c r="E8" s="38" t="str">
        <x:v>Drawer rigid box</x:v>
      </x:c>
      <x:c r="F8" s="39" t="n">
        <x:v>2.35</x:v>
      </x:c>
      <x:c r="G8" s="39" t="n">
        <x:v>3.95</x:v>
      </x:c>
      <x:c r="H8" s="39" t="n">
        <x:v>3.1500000000000004</x:v>
      </x:c>
      <x:c r="I8" s="38" t="str">
        <x:v>100-180</x:v>
      </x:c>
      <x:c r="J8" s="38" t="n">
        <x:v>24</x:v>
      </x:c>
      <x:c r="K8" s="38" t="str">
        <x:v>610 x 520 x 210</x:v>
      </x:c>
      <x:c r="L8" s="38" t="str">
        <x:v>14-16.5kg</x:v>
      </x:c>
      <x:c r="M8" s="38" t="n">
        <x:v>28</x:v>
      </x:c>
      <x:c r="N8" s="38" t="str">
        <x:v>17-19.5kg</x:v>
      </x:c>
    </x:row>
    <x:row r="9">
      <x:c r="A9" s="38" t="str">
        <x:v>WGS-005-3</x:v>
      </x:c>
      <x:c r="B9" s="38" t="str">
        <x:v>The Morning Ritual</x:v>
      </x:c>
      <x:c r="C9" s="38" t="str">
        <x:v>255 x 205 x 75</x:v>
      </x:c>
      <x:c r="D9" s="38" t="str">
        <x:v>235 x 185 x 55</x:v>
      </x:c>
      <x:c r="E9" s="38" t="str">
        <x:v>Magnetic rigid box</x:v>
      </x:c>
      <x:c r="F9" s="39" t="n">
        <x:v>3.85</x:v>
      </x:c>
      <x:c r="G9" s="39" t="n">
        <x:v>6.35</x:v>
      </x:c>
      <x:c r="H9" s="39" t="n">
        <x:v>5.1</x:v>
      </x:c>
      <x:c r="I9" s="38" t="str">
        <x:v>150-260</x:v>
      </x:c>
      <x:c r="J9" s="38" t="n">
        <x:v>12</x:v>
      </x:c>
      <x:c r="K9" s="38" t="str">
        <x:v>540 x 440 x 250</x:v>
      </x:c>
      <x:c r="L9" s="38" t="str">
        <x:v>11.5-13kg</x:v>
      </x:c>
      <x:c r="M9" s="38" t="n">
        <x:v>16</x:v>
      </x:c>
      <x:c r="N9" s="38" t="str">
        <x:v>15-18kg</x:v>
      </x:c>
    </x:row>
    <x:row r="10">
      <x:c r="A10" s="38" t="str">
        <x:v>WGS-006-3</x:v>
      </x:c>
      <x:c r="B10" s="38" t="str">
        <x:v>The First Day</x:v>
      </x:c>
      <x:c r="C10" s="38" t="str">
        <x:v>330 x 230 x 105</x:v>
      </x:c>
      <x:c r="D10" s="38" t="str">
        <x:v>310 x 210 x 85</x:v>
      </x:c>
      <x:c r="E10" s="38" t="str">
        <x:v>Rigid lid gift box</x:v>
      </x:c>
      <x:c r="F10" s="39" t="n">
        <x:v>6</x:v>
      </x:c>
      <x:c r="G10" s="39" t="n">
        <x:v>9.6</x:v>
      </x:c>
      <x:c r="H10" s="39" t="n">
        <x:v>7.8</x:v>
      </x:c>
      <x:c r="I10" s="38" t="str">
        <x:v>180-320</x:v>
      </x:c>
      <x:c r="J10" s="38" t="n">
        <x:v>6</x:v>
      </x:c>
      <x:c r="K10" s="38" t="str">
        <x:v>480 x 360 x 340</x:v>
      </x:c>
      <x:c r="L10" s="38" t="str">
        <x:v>12-14.5kg</x:v>
      </x:c>
      <x:c r="M10" s="38" t="n">
        <x:v>6</x:v>
      </x:c>
      <x:c r="N10" s="38" t="str">
        <x:v>13-15kg</x:v>
      </x:c>
    </x:row>
    <x:row r="11">
      <x:c r="A11" s="38" t="str">
        <x:v>WGS-007-3</x:v>
      </x:c>
      <x:c r="B11" s="38" t="str">
        <x:v>The Thinking Desk</x:v>
      </x:c>
      <x:c r="C11" s="38" t="str">
        <x:v>280 x 230 x 115</x:v>
      </x:c>
      <x:c r="D11" s="38" t="str">
        <x:v>260 x 210 x 95</x:v>
      </x:c>
      <x:c r="E11" s="38" t="str">
        <x:v>Magnetic rigid box</x:v>
      </x:c>
      <x:c r="F11" s="39" t="n">
        <x:v>5.8</x:v>
      </x:c>
      <x:c r="G11" s="39" t="n">
        <x:v>9.4</x:v>
      </x:c>
      <x:c r="H11" s="39" t="n">
        <x:v>7.6</x:v>
      </x:c>
      <x:c r="I11" s="38" t="str">
        <x:v>180-320</x:v>
      </x:c>
      <x:c r="J11" s="38" t="n">
        <x:v>8</x:v>
      </x:c>
      <x:c r="K11" s="38" t="str">
        <x:v>590 x 490 x 255</x:v>
      </x:c>
      <x:c r="L11" s="38" t="str">
        <x:v>13-15.5kg</x:v>
      </x:c>
      <x:c r="M11" s="38" t="n">
        <x:v>8</x:v>
      </x:c>
      <x:c r="N11" s="38" t="str">
        <x:v>14-16kg</x:v>
      </x:c>
    </x:row>
    <x:row r="12">
      <x:c r="A12" s="38" t="str">
        <x:v>WGS-008-4</x:v>
      </x:c>
      <x:c r="B12" s="38" t="str">
        <x:v>The Quartet</x:v>
      </x:c>
      <x:c r="C12" s="38" t="str">
        <x:v>360 x 290 x 90</x:v>
      </x:c>
      <x:c r="D12" s="38" t="str">
        <x:v>340 x 270 x 70</x:v>
      </x:c>
      <x:c r="E12" s="38" t="str">
        <x:v>Large magnetic rigid box</x:v>
      </x:c>
      <x:c r="F12" s="39" t="n">
        <x:v>7.3</x:v>
      </x:c>
      <x:c r="G12" s="39" t="n">
        <x:v>12</x:v>
      </x:c>
      <x:c r="H12" s="39" t="n">
        <x:v>9.65</x:v>
      </x:c>
      <x:c r="I12" s="38" t="str">
        <x:v>220-380</x:v>
      </x:c>
      <x:c r="J12" s="38" t="n">
        <x:v>6</x:v>
      </x:c>
      <x:c r="K12" s="38" t="str">
        <x:v>610 x 390 x 300</x:v>
      </x:c>
      <x:c r="L12" s="38" t="str">
        <x:v>13.5-15.5kg</x:v>
      </x:c>
      <x:c r="M12" s="38" t="n">
        <x:v>6</x:v>
      </x:c>
      <x:c r="N12" s="38" t="str">
        <x:v>14-16kg</x:v>
      </x:c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</x:row>
    <x:row r="15">
      <x:c r="A15" s="40" t="str">
        <x:v>Recommendation</x:v>
      </x:c>
      <x:c r="B15" s="40" t="str">
        <x:v>Recommendation</x:v>
      </x:c>
      <x:c r="C15" s="40" t="str">
        <x:v>Recommendation</x:v>
      </x:c>
      <x:c r="D15" s="40" t="str">
        <x:v>Recommendation</x:v>
      </x:c>
      <x:c r="E15" s="37"/>
      <x:c r="F15" s="41" t="str">
        <x:v>Set</x:v>
      </x:c>
      <x:c r="G15" s="41" t="str">
        <x:v>Midpoint unit packaging $</x:v>
      </x:c>
      <x:c r="H15" s="37"/>
      <x:c r="I15" s="37"/>
      <x:c r="J15" s="37"/>
      <x:c r="K15" s="37"/>
      <x:c r="L15" s="37"/>
      <x:c r="M15" s="37"/>
      <x:c r="N15" s="37"/>
    </x:row>
    <x:row r="16">
      <x:c r="A16" s="42" t="str">
        <x:v>Best for air/express</x:v>
      </x:c>
      <x:c r="B16" s="42" t="str">
        <x:v>Flexible carton plan</x:v>
      </x:c>
      <x:c r="C16" s="42" t="str">
        <x:v>Lowest dimensional-weight waste</x:v>
      </x:c>
      <x:c r="D16" s="42" t="str"/>
      <x:c r="E16" s="37"/>
      <x:c r="F16" s="43" t="str">
        <x:v>WGS-001-3</x:v>
      </x:c>
      <x:c r="G16" s="44" t="n">
        <x:v>3.3499999999999996</x:v>
      </x:c>
      <x:c r="H16" s="37"/>
      <x:c r="I16" s="37"/>
      <x:c r="J16" s="37"/>
      <x:c r="K16" s="37"/>
      <x:c r="L16" s="37"/>
      <x:c r="M16" s="37"/>
      <x:c r="N16" s="37"/>
    </x:row>
    <x:row r="17">
      <x:c r="A17" s="42" t="str">
        <x:v>Best compromise</x:v>
      </x:c>
      <x:c r="B17" s="42" t="str">
        <x:v>Tiered carton plan</x:v>
      </x:c>
      <x:c r="C17" s="42" t="str">
        <x:v>3 carton sizes, simpler procurement</x:v>
      </x:c>
      <x:c r="D17" s="42" t="str"/>
      <x:c r="E17" s="37"/>
      <x:c r="F17" s="43" t="str">
        <x:v>WGS-002-3</x:v>
      </x:c>
      <x:c r="G17" s="44" t="n">
        <x:v>4.475</x:v>
      </x:c>
      <x:c r="H17" s="37"/>
      <x:c r="I17" s="37"/>
      <x:c r="J17" s="37"/>
      <x:c r="K17" s="37"/>
      <x:c r="L17" s="37"/>
      <x:c r="M17" s="37"/>
      <x:c r="N17" s="37"/>
    </x:row>
    <x:row r="18">
      <x:c r="A18" s="42" t="str">
        <x:v>Best for warehouse/sea freight</x:v>
      </x:c>
      <x:c r="B18" s="42" t="str">
        <x:v>Unified 610 x 520 x 340mm</x:v>
      </x:c>
      <x:c r="C18" s="42" t="str">
        <x:v>Simple but volumetric weight is about 21.6kg</x:v>
      </x:c>
      <x:c r="D18" s="42" t="str"/>
      <x:c r="E18" s="37"/>
      <x:c r="F18" s="43" t="str">
        <x:v>WGS-003-3</x:v>
      </x:c>
      <x:c r="G18" s="44" t="n">
        <x:v>2.35</x:v>
      </x:c>
      <x:c r="H18" s="37"/>
      <x:c r="I18" s="37"/>
      <x:c r="J18" s="37"/>
      <x:c r="K18" s="37"/>
      <x:c r="L18" s="37"/>
      <x:c r="M18" s="37"/>
      <x:c r="N18" s="37"/>
    </x:row>
    <x:row r="19">
      <x:c r="A19" s="42" t="str">
        <x:v>Quote buffer</x:v>
      </x:c>
      <x:c r="B19" s="42" t="str">
        <x:v>Add 8-12%</x:v>
      </x:c>
      <x:c r="C19" s="42" t="str">
        <x:v>Until samples confirm EVA density, logo process, and packed gross weight</x:v>
      </x:c>
      <x:c r="D19" s="42" t="str"/>
      <x:c r="E19" s="37"/>
      <x:c r="F19" s="43" t="str">
        <x:v>WGS-004-3</x:v>
      </x:c>
      <x:c r="G19" s="44" t="n">
        <x:v>3.1500000000000004</x:v>
      </x:c>
      <x:c r="H19" s="37"/>
      <x:c r="I19" s="37"/>
      <x:c r="J19" s="37"/>
      <x:c r="K19" s="37"/>
      <x:c r="L19" s="37"/>
      <x:c r="M19" s="37"/>
      <x:c r="N19" s="37"/>
    </x:row>
    <x:row r="20">
      <x:c r="A20" s="42" t="str">
        <x:v>EVA tooling</x:v>
      </x:c>
      <x:c r="B20" s="42" t="str">
        <x:v>Do not amortize at first</x:v>
      </x:c>
      <x:c r="C20" s="42" t="str">
        <x:v>Keep mold fee visible in supplier comparison</x:v>
      </x:c>
      <x:c r="D20" s="42" t="str"/>
      <x:c r="E20" s="37"/>
      <x:c r="F20" s="43" t="str">
        <x:v>WGS-005-3</x:v>
      </x:c>
      <x:c r="G20" s="44" t="n">
        <x:v>5.1</x:v>
      </x:c>
      <x:c r="H20" s="37"/>
      <x:c r="I20" s="37"/>
      <x:c r="J20" s="37"/>
      <x:c r="K20" s="37"/>
      <x:c r="L20" s="37"/>
      <x:c r="M20" s="37"/>
      <x:c r="N20" s="37"/>
    </x:row>
    <x:row r="21">
      <x:c r="A21" s="37"/>
      <x:c r="B21" s="37"/>
      <x:c r="C21" s="37"/>
      <x:c r="D21" s="37"/>
      <x:c r="E21" s="37"/>
      <x:c r="F21" s="43" t="str">
        <x:v>WGS-006-3</x:v>
      </x:c>
      <x:c r="G21" s="44" t="n">
        <x:v>7.8</x:v>
      </x:c>
      <x:c r="H21" s="37"/>
      <x:c r="I21" s="37"/>
      <x:c r="J21" s="37"/>
      <x:c r="K21" s="37"/>
      <x:c r="L21" s="37"/>
      <x:c r="M21" s="37"/>
      <x:c r="N21" s="37"/>
    </x:row>
    <x:row r="22">
      <x:c r="A22" s="37"/>
      <x:c r="B22" s="37"/>
      <x:c r="C22" s="37"/>
      <x:c r="D22" s="37"/>
      <x:c r="E22" s="37"/>
      <x:c r="F22" s="43" t="str">
        <x:v>WGS-007-3</x:v>
      </x:c>
      <x:c r="G22" s="44" t="n">
        <x:v>7.6</x:v>
      </x:c>
      <x:c r="H22" s="37"/>
      <x:c r="I22" s="37"/>
      <x:c r="J22" s="37"/>
      <x:c r="K22" s="37"/>
      <x:c r="L22" s="37"/>
      <x:c r="M22" s="37"/>
      <x:c r="N22" s="37"/>
    </x:row>
    <x:row r="23">
      <x:c r="A23" s="37"/>
      <x:c r="B23" s="37"/>
      <x:c r="C23" s="37"/>
      <x:c r="D23" s="37"/>
      <x:c r="E23" s="37"/>
      <x:c r="F23" s="43" t="str">
        <x:v>WGS-008-4</x:v>
      </x:c>
      <x:c r="G23" s="44" t="n">
        <x:v>9.65</x:v>
      </x:c>
      <x:c r="H23" s="37"/>
      <x:c r="I23" s="37"/>
      <x:c r="J23" s="37"/>
      <x:c r="K23" s="37"/>
      <x:c r="L23" s="37"/>
      <x:c r="M23" s="37"/>
      <x:c r="N23" s="37"/>
    </x:row>
  </x:sheetData>
  <x:mergeCells>
    <x:mergeCell ref="A1:N1"/>
    <x:mergeCell ref="A2:N2"/>
    <x:mergeCell ref="A15:D15"/>
  </x:mergeCells>
  <x:pageMargins left="0.7" right="0.7" top="0.75" bottom="0.75" header="0.3" footer="0.3"/>
  <x:drawing xmlns:r="http://schemas.openxmlformats.org/officeDocument/2006/relationships" r:id="Re677f58a19114964"/>
  <x:tableParts count="1">
    <x:tablePart xmlns:r="http://schemas.openxmlformats.org/officeDocument/2006/relationships" r:id="R7ff174073f9f47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8799991607666" hidden="0" customWidth="1"/>
    <x:col min="3" max="3" width="15" hidden="0" customWidth="1"/>
    <x:col min="4" max="4" width="14.380000114440918" hidden="0" customWidth="1"/>
    <x:col min="5" max="5" width="18.1299991607666" hidden="0" customWidth="1"/>
    <x:col min="6" max="6" width="10.25" hidden="0" customWidth="1"/>
    <x:col min="7" max="7" width="10.25" hidden="0" customWidth="1"/>
    <x:col min="8" max="8" width="9.75" hidden="0" customWidth="1"/>
    <x:col min="9" max="9" width="9.75" hidden="0" customWidth="1"/>
    <x:col min="10" max="10" width="11.880000114440918" hidden="0" customWidth="1"/>
    <x:col min="11" max="11" width="11.880000114440918" hidden="0" customWidth="1"/>
    <x:col min="12" max="12" width="12" hidden="0" customWidth="1"/>
    <x:col min="13" max="13" width="12" hidden="0" customWidth="1"/>
    <x:col min="14" max="14" width="12.5" hidden="0" customWidth="1"/>
    <x:col min="15" max="15" width="12.5" hidden="0" customWidth="1"/>
    <x:col min="16" max="16" width="10.630000114440918" hidden="0" customWidth="1"/>
  </x:cols>
  <x:sheetData>
    <x:row r="1" ht="25.5" customHeight="1">
      <x:c r="A1" s="4" t="str">
        <x:v>Gift Box + EVA Pricing Reference</x:v>
      </x:c>
      <x:c r="B1" s="4" t="str">
        <x:v>Gift Box + EVA Pricing Reference</x:v>
      </x:c>
      <x:c r="C1" s="4" t="str">
        <x:v>Gift Box + EVA Pricing Reference</x:v>
      </x:c>
      <x:c r="D1" s="4" t="str">
        <x:v>Gift Box + EVA Pricing Reference</x:v>
      </x:c>
      <x:c r="E1" s="4" t="str">
        <x:v>Gift Box + EVA Pricing Reference</x:v>
      </x:c>
      <x:c r="F1" s="4" t="str">
        <x:v>Gift Box + EVA Pricing Reference</x:v>
      </x:c>
      <x:c r="G1" s="4" t="str">
        <x:v>Gift Box + EVA Pricing Reference</x:v>
      </x:c>
      <x:c r="H1" s="4" t="str">
        <x:v>Gift Box + EVA Pricing Reference</x:v>
      </x:c>
      <x:c r="I1" s="4" t="str">
        <x:v>Gift Box + EVA Pricing Reference</x:v>
      </x:c>
      <x:c r="J1" s="4" t="str">
        <x:v>Gift Box + EVA Pricing Reference</x:v>
      </x:c>
      <x:c r="K1" s="4" t="str">
        <x:v>Gift Box + EVA Pricing Reference</x:v>
      </x:c>
      <x:c r="L1" s="4" t="str">
        <x:v>Gift Box + EVA Pricing Reference</x:v>
      </x:c>
      <x:c r="M1" s="4" t="str">
        <x:v>Gift Box + EVA Pricing Reference</x:v>
      </x:c>
      <x:c r="N1" s="4" t="str">
        <x:v>Gift Box + EVA Pricing Reference</x:v>
      </x:c>
      <x:c r="O1" s="37"/>
      <x:c r="P1" s="37"/>
    </x:row>
    <x:row r="2" ht="25.5" customHeight="1">
      <x:c r="A2" s="9" t="str">
        <x:v>Unit packaging cost includes gift box, EVA insert, carton share, and small packing materials. Tooling/mold is separate.</x:v>
      </x:c>
      <x:c r="B2" s="9" t="str">
        <x:v>Unit packaging cost includes gift box, EVA insert, carton share, and small packing materials. Tooling/mold is separate.</x:v>
      </x:c>
      <x:c r="C2" s="9" t="str">
        <x:v>Unit packaging cost includes gift box, EVA insert, carton share, and small packing materials. Tooling/mold is separate.</x:v>
      </x:c>
      <x:c r="D2" s="9" t="str">
        <x:v>Unit packaging cost includes gift box, EVA insert, carton share, and small packing materials. Tooling/mold is separate.</x:v>
      </x:c>
      <x:c r="E2" s="9" t="str">
        <x:v>Unit packaging cost includes gift box, EVA insert, carton share, and small packing materials. Tooling/mold is separate.</x:v>
      </x:c>
      <x:c r="F2" s="9" t="str">
        <x:v>Unit packaging cost includes gift box, EVA insert, carton share, and small packing materials. Tooling/mold is separate.</x:v>
      </x:c>
      <x:c r="G2" s="9" t="str">
        <x:v>Unit packaging cost includes gift box, EVA insert, carton share, and small packing materials. Tooling/mold is separate.</x:v>
      </x:c>
      <x:c r="H2" s="9" t="str">
        <x:v>Unit packaging cost includes gift box, EVA insert, carton share, and small packing materials. Tooling/mold is separate.</x:v>
      </x:c>
      <x:c r="I2" s="9" t="str">
        <x:v>Unit packaging cost includes gift box, EVA insert, carton share, and small packing materials. Tooling/mold is separate.</x:v>
      </x:c>
      <x:c r="J2" s="9" t="str">
        <x:v>Unit packaging cost includes gift box, EVA insert, carton share, and small packing materials. Tooling/mold is separate.</x:v>
      </x:c>
      <x:c r="K2" s="9" t="str">
        <x:v>Unit packaging cost includes gift box, EVA insert, carton share, and small packing materials. Tooling/mold is separate.</x:v>
      </x:c>
      <x:c r="L2" s="9" t="str">
        <x:v>Unit packaging cost includes gift box, EVA insert, carton share, and small packing materials. Tooling/mold is separate.</x:v>
      </x:c>
      <x:c r="M2" s="9" t="str">
        <x:v>Unit packaging cost includes gift box, EVA insert, carton share, and small packing materials. Tooling/mold is separate.</x:v>
      </x:c>
      <x:c r="N2" s="9" t="str">
        <x:v>Unit packaging cost includes gift box, EVA insert, carton share, and small packing materials. Tooling/mold is separate.</x:v>
      </x:c>
      <x:c r="O2" s="37"/>
      <x:c r="P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 ht="25.5" customHeight="1">
      <x:c r="A4" s="16" t="str">
        <x:v>Set</x:v>
      </x:c>
      <x:c r="B4" s="16" t="str">
        <x:v>Name</x:v>
      </x:c>
      <x:c r="C4" s="16" t="str">
        <x:v>Gift box outer size mm</x:v>
      </x:c>
      <x:c r="D4" s="16" t="str">
        <x:v>EVA board size mm</x:v>
      </x:c>
      <x:c r="E4" s="16" t="str">
        <x:v>Box type</x:v>
      </x:c>
      <x:c r="F4" s="16" t="str">
        <x:v>Gift box min $</x:v>
      </x:c>
      <x:c r="G4" s="16" t="str">
        <x:v>Gift box max $</x:v>
      </x:c>
      <x:c r="H4" s="16" t="str">
        <x:v>EVA min $</x:v>
      </x:c>
      <x:c r="I4" s="16" t="str">
        <x:v>EVA max $</x:v>
      </x:c>
      <x:c r="J4" s="16" t="str">
        <x:v>EVA tooling min $</x:v>
      </x:c>
      <x:c r="K4" s="16" t="str">
        <x:v>EVA tooling max $</x:v>
      </x:c>
      <x:c r="L4" s="16" t="str">
        <x:v>Carton share min $</x:v>
      </x:c>
      <x:c r="M4" s="16" t="str">
        <x:v>Carton share max $</x:v>
      </x:c>
      <x:c r="N4" s="16" t="str">
        <x:v>Unit packaging min $</x:v>
      </x:c>
      <x:c r="O4" s="16" t="str">
        <x:v>Unit packaging max $</x:v>
      </x:c>
      <x:c r="P4" s="16" t="str">
        <x:v>Midpoint $</x:v>
      </x:c>
    </x:row>
    <x:row r="5">
      <x:c r="A5" s="38" t="str">
        <x:v>WGS-001-3</x:v>
      </x:c>
      <x:c r="B5" s="38" t="str">
        <x:v>The Desk Starter</x:v>
      </x:c>
      <x:c r="C5" s="38" t="str">
        <x:v>285 x 165 x 40</x:v>
      </x:c>
      <x:c r="D5" s="38" t="str">
        <x:v>270 x 150 x 25</x:v>
      </x:c>
      <x:c r="E5" s="38" t="str">
        <x:v>Drawer rigid box</x:v>
      </x:c>
      <x:c r="F5" s="39" t="n">
        <x:v>1.8</x:v>
      </x:c>
      <x:c r="G5" s="39" t="n">
        <x:v>2.8</x:v>
      </x:c>
      <x:c r="H5" s="39" t="n">
        <x:v>0.55</x:v>
      </x:c>
      <x:c r="I5" s="39" t="n">
        <x:v>0.9</x:v>
      </x:c>
      <x:c r="J5" s="45" t="n">
        <x:v>100</x:v>
      </x:c>
      <x:c r="K5" s="45" t="n">
        <x:v>180</x:v>
      </x:c>
      <x:c r="L5" s="39" t="n">
        <x:v>0.06</x:v>
      </x:c>
      <x:c r="M5" s="39" t="n">
        <x:v>0.1</x:v>
      </x:c>
      <x:c r="N5" s="39" t="n">
        <x:v>2.6</x:v>
      </x:c>
      <x:c r="O5" s="39" t="n">
        <x:v>4.1</x:v>
      </x:c>
      <x:c r="P5" s="39" t="n">
        <x:v>3.3499999999999996</x:v>
      </x:c>
    </x:row>
    <x:row r="6">
      <x:c r="A6" s="38" t="str">
        <x:v>WGS-002-3</x:v>
      </x:c>
      <x:c r="B6" s="38" t="str">
        <x:v>The Mechanical Desk</x:v>
      </x:c>
      <x:c r="C6" s="38" t="str">
        <x:v>295 x 230 x 50</x:v>
      </x:c>
      <x:c r="D6" s="38" t="str">
        <x:v>275 x 210 x 30</x:v>
      </x:c>
      <x:c r="E6" s="38" t="str">
        <x:v>Magnetic rigid box</x:v>
      </x:c>
      <x:c r="F6" s="39" t="n">
        <x:v>2.4</x:v>
      </x:c>
      <x:c r="G6" s="39" t="n">
        <x:v>3.8</x:v>
      </x:c>
      <x:c r="H6" s="39" t="n">
        <x:v>0.75</x:v>
      </x:c>
      <x:c r="I6" s="39" t="n">
        <x:v>1.2</x:v>
      </x:c>
      <x:c r="J6" s="45" t="n">
        <x:v>120</x:v>
      </x:c>
      <x:c r="K6" s="45" t="n">
        <x:v>220</x:v>
      </x:c>
      <x:c r="L6" s="39" t="n">
        <x:v>0.1</x:v>
      </x:c>
      <x:c r="M6" s="39" t="n">
        <x:v>0.18</x:v>
      </x:c>
      <x:c r="N6" s="39" t="n">
        <x:v>3.45</x:v>
      </x:c>
      <x:c r="O6" s="39" t="n">
        <x:v>5.5</x:v>
      </x:c>
      <x:c r="P6" s="39" t="n">
        <x:v>4.475</x:v>
      </x:c>
    </x:row>
    <x:row r="7">
      <x:c r="A7" s="38" t="str">
        <x:v>WGS-003-3</x:v>
      </x:c>
      <x:c r="B7" s="38" t="str">
        <x:v>The Pocket Three</x:v>
      </x:c>
      <x:c r="C7" s="38" t="str">
        <x:v>200 x 190 x 38</x:v>
      </x:c>
      <x:c r="D7" s="38" t="str">
        <x:v>180 x 165 x 22</x:v>
      </x:c>
      <x:c r="E7" s="38" t="str">
        <x:v>Small magnetic rigid box</x:v>
      </x:c>
      <x:c r="F7" s="39" t="n">
        <x:v>1.2</x:v>
      </x:c>
      <x:c r="G7" s="39" t="n">
        <x:v>2</x:v>
      </x:c>
      <x:c r="H7" s="39" t="n">
        <x:v>0.35</x:v>
      </x:c>
      <x:c r="I7" s="39" t="n">
        <x:v>0.65</x:v>
      </x:c>
      <x:c r="J7" s="45" t="n">
        <x:v>80</x:v>
      </x:c>
      <x:c r="K7" s="45" t="n">
        <x:v>150</x:v>
      </x:c>
      <x:c r="L7" s="39" t="n">
        <x:v>0.05</x:v>
      </x:c>
      <x:c r="M7" s="39" t="n">
        <x:v>0.08</x:v>
      </x:c>
      <x:c r="N7" s="39" t="n">
        <x:v>1.75</x:v>
      </x:c>
      <x:c r="O7" s="39" t="n">
        <x:v>2.95</x:v>
      </x:c>
      <x:c r="P7" s="39" t="n">
        <x:v>2.35</x:v>
      </x:c>
    </x:row>
    <x:row r="8">
      <x:c r="A8" s="38" t="str">
        <x:v>WGS-004-3</x:v>
      </x:c>
      <x:c r="B8" s="38" t="str">
        <x:v>The Field EDC</x:v>
      </x:c>
      <x:c r="C8" s="38" t="str">
        <x:v>240 x 180 x 45</x:v>
      </x:c>
      <x:c r="D8" s="38" t="str">
        <x:v>220 x 160 x 28</x:v>
      </x:c>
      <x:c r="E8" s="38" t="str">
        <x:v>Drawer rigid box</x:v>
      </x:c>
      <x:c r="F8" s="39" t="n">
        <x:v>1.6</x:v>
      </x:c>
      <x:c r="G8" s="39" t="n">
        <x:v>2.7</x:v>
      </x:c>
      <x:c r="H8" s="39" t="n">
        <x:v>0.5</x:v>
      </x:c>
      <x:c r="I8" s="39" t="n">
        <x:v>0.85</x:v>
      </x:c>
      <x:c r="J8" s="45" t="n">
        <x:v>100</x:v>
      </x:c>
      <x:c r="K8" s="45" t="n">
        <x:v>180</x:v>
      </x:c>
      <x:c r="L8" s="39" t="n">
        <x:v>0.06</x:v>
      </x:c>
      <x:c r="M8" s="39" t="n">
        <x:v>0.1</x:v>
      </x:c>
      <x:c r="N8" s="39" t="n">
        <x:v>2.35</x:v>
      </x:c>
      <x:c r="O8" s="39" t="n">
        <x:v>3.95</x:v>
      </x:c>
      <x:c r="P8" s="39" t="n">
        <x:v>3.1500000000000004</x:v>
      </x:c>
    </x:row>
    <x:row r="9">
      <x:c r="A9" s="38" t="str">
        <x:v>WGS-005-3</x:v>
      </x:c>
      <x:c r="B9" s="38" t="str">
        <x:v>The Morning Ritual</x:v>
      </x:c>
      <x:c r="C9" s="38" t="str">
        <x:v>255 x 205 x 75</x:v>
      </x:c>
      <x:c r="D9" s="38" t="str">
        <x:v>235 x 185 x 55</x:v>
      </x:c>
      <x:c r="E9" s="38" t="str">
        <x:v>Magnetic rigid box</x:v>
      </x:c>
      <x:c r="F9" s="39" t="n">
        <x:v>2.6</x:v>
      </x:c>
      <x:c r="G9" s="39" t="n">
        <x:v>4.3</x:v>
      </x:c>
      <x:c r="H9" s="39" t="n">
        <x:v>0.85</x:v>
      </x:c>
      <x:c r="I9" s="39" t="n">
        <x:v>1.45</x:v>
      </x:c>
      <x:c r="J9" s="45" t="n">
        <x:v>150</x:v>
      </x:c>
      <x:c r="K9" s="45" t="n">
        <x:v>260</x:v>
      </x:c>
      <x:c r="L9" s="39" t="n">
        <x:v>0.12</x:v>
      </x:c>
      <x:c r="M9" s="39" t="n">
        <x:v>0.2</x:v>
      </x:c>
      <x:c r="N9" s="39" t="n">
        <x:v>3.85</x:v>
      </x:c>
      <x:c r="O9" s="39" t="n">
        <x:v>6.35</x:v>
      </x:c>
      <x:c r="P9" s="39" t="n">
        <x:v>5.1</x:v>
      </x:c>
    </x:row>
    <x:row r="10">
      <x:c r="A10" s="38" t="str">
        <x:v>WGS-006-3</x:v>
      </x:c>
      <x:c r="B10" s="38" t="str">
        <x:v>The First Day</x:v>
      </x:c>
      <x:c r="C10" s="38" t="str">
        <x:v>330 x 230 x 105</x:v>
      </x:c>
      <x:c r="D10" s="38" t="str">
        <x:v>310 x 210 x 85</x:v>
      </x:c>
      <x:c r="E10" s="38" t="str">
        <x:v>Rigid lid gift box</x:v>
      </x:c>
      <x:c r="F10" s="39" t="n">
        <x:v>4</x:v>
      </x:c>
      <x:c r="G10" s="39" t="n">
        <x:v>6.5</x:v>
      </x:c>
      <x:c r="H10" s="39" t="n">
        <x:v>1.3</x:v>
      </x:c>
      <x:c r="I10" s="39" t="n">
        <x:v>2.3</x:v>
      </x:c>
      <x:c r="J10" s="45" t="n">
        <x:v>180</x:v>
      </x:c>
      <x:c r="K10" s="45" t="n">
        <x:v>320</x:v>
      </x:c>
      <x:c r="L10" s="39" t="n">
        <x:v>0.3</x:v>
      </x:c>
      <x:c r="M10" s="39" t="n">
        <x:v>0.5</x:v>
      </x:c>
      <x:c r="N10" s="39" t="n">
        <x:v>6</x:v>
      </x:c>
      <x:c r="O10" s="39" t="n">
        <x:v>9.6</x:v>
      </x:c>
      <x:c r="P10" s="39" t="n">
        <x:v>7.8</x:v>
      </x:c>
    </x:row>
    <x:row r="11">
      <x:c r="A11" s="38" t="str">
        <x:v>WGS-007-3</x:v>
      </x:c>
      <x:c r="B11" s="38" t="str">
        <x:v>The Thinking Desk</x:v>
      </x:c>
      <x:c r="C11" s="38" t="str">
        <x:v>280 x 230 x 115</x:v>
      </x:c>
      <x:c r="D11" s="38" t="str">
        <x:v>260 x 210 x 95</x:v>
      </x:c>
      <x:c r="E11" s="38" t="str">
        <x:v>Magnetic rigid box</x:v>
      </x:c>
      <x:c r="F11" s="39" t="n">
        <x:v>3.8</x:v>
      </x:c>
      <x:c r="G11" s="39" t="n">
        <x:v>6.3</x:v>
      </x:c>
      <x:c r="H11" s="39" t="n">
        <x:v>1.4</x:v>
      </x:c>
      <x:c r="I11" s="39" t="n">
        <x:v>2.4</x:v>
      </x:c>
      <x:c r="J11" s="45" t="n">
        <x:v>180</x:v>
      </x:c>
      <x:c r="K11" s="45" t="n">
        <x:v>320</x:v>
      </x:c>
      <x:c r="L11" s="39" t="n">
        <x:v>0.25</x:v>
      </x:c>
      <x:c r="M11" s="39" t="n">
        <x:v>0.45</x:v>
      </x:c>
      <x:c r="N11" s="39" t="n">
        <x:v>5.8</x:v>
      </x:c>
      <x:c r="O11" s="39" t="n">
        <x:v>9.4</x:v>
      </x:c>
      <x:c r="P11" s="39" t="n">
        <x:v>7.6</x:v>
      </x:c>
    </x:row>
    <x:row r="12">
      <x:c r="A12" s="38" t="str">
        <x:v>WGS-008-4</x:v>
      </x:c>
      <x:c r="B12" s="38" t="str">
        <x:v>The Quartet</x:v>
      </x:c>
      <x:c r="C12" s="38" t="str">
        <x:v>360 x 290 x 90</x:v>
      </x:c>
      <x:c r="D12" s="38" t="str">
        <x:v>340 x 270 x 70</x:v>
      </x:c>
      <x:c r="E12" s="38" t="str">
        <x:v>Large magnetic rigid box</x:v>
      </x:c>
      <x:c r="F12" s="39" t="n">
        <x:v>5</x:v>
      </x:c>
      <x:c r="G12" s="39" t="n">
        <x:v>8.2</x:v>
      </x:c>
      <x:c r="H12" s="39" t="n">
        <x:v>1.6</x:v>
      </x:c>
      <x:c r="I12" s="39" t="n">
        <x:v>2.8</x:v>
      </x:c>
      <x:c r="J12" s="45" t="n">
        <x:v>220</x:v>
      </x:c>
      <x:c r="K12" s="45" t="n">
        <x:v>380</x:v>
      </x:c>
      <x:c r="L12" s="39" t="n">
        <x:v>0.32</x:v>
      </x:c>
      <x:c r="M12" s="39" t="n">
        <x:v>0.55</x:v>
      </x:c>
      <x:c r="N12" s="39" t="n">
        <x:v>7.3</x:v>
      </x:c>
      <x:c r="O12" s="39" t="n">
        <x:v>12</x:v>
      </x:c>
      <x:c r="P12" s="39" t="n">
        <x:v>9.65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c07973bbb3e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4.380001068115234" hidden="0" customWidth="1"/>
    <x:col min="3" max="3" width="20.6299991607666" hidden="0" customWidth="1"/>
    <x:col min="4" max="4" width="20.6299991607666" hidden="0" customWidth="1"/>
    <x:col min="5" max="5" width="37.5" hidden="0" customWidth="1"/>
  </x:cols>
  <x:sheetData>
    <x:row r="1" ht="25.5" customHeight="1">
      <x:c r="A1" s="4" t="str">
        <x:v>EVA Slot / Tooling Size Reference</x:v>
      </x:c>
      <x:c r="B1" s="4" t="str">
        <x:v>EVA Slot / Tooling Size Reference</x:v>
      </x:c>
      <x:c r="C1" s="4" t="str">
        <x:v>EVA Slot / Tooling Size Reference</x:v>
      </x:c>
      <x:c r="D1" s="4" t="str">
        <x:v>EVA Slot / Tooling Size Reference</x:v>
      </x:c>
      <x:c r="E1" s="4" t="str">
        <x:v>EVA Slot / Tooling Size Reference</x:v>
      </x:c>
    </x:row>
    <x:row r="2" ht="25.5" customHeight="1">
      <x:c r="A2" s="9" t="str">
        <x:v>Slot sizes include clearance for metal products and pickup handling. Items marked estimated should be confirmed before tooling.</x:v>
      </x:c>
      <x:c r="B2" s="9" t="str">
        <x:v>Slot sizes include clearance for metal products and pickup handling. Items marked estimated should be confirmed before tooling.</x:v>
      </x:c>
      <x:c r="C2" s="9" t="str">
        <x:v>Slot sizes include clearance for metal products and pickup handling. Items marked estimated should be confirmed before tooling.</x:v>
      </x:c>
      <x:c r="D2" s="9" t="str">
        <x:v>Slot sizes include clearance for metal products and pickup handling. Items marked estimated should be confirmed before tooling.</x:v>
      </x:c>
      <x:c r="E2" s="9" t="str">
        <x:v>Slot sizes include clearance for metal products and pickup handling. Items marked estimated should be confirmed before tooling.</x:v>
      </x:c>
    </x:row>
    <x:row r="3">
      <x:c r="A3" s="37"/>
      <x:c r="B3" s="37"/>
      <x:c r="C3" s="37"/>
      <x:c r="D3" s="37"/>
      <x:c r="E3" s="37"/>
    </x:row>
    <x:row r="4" ht="25.5" customHeight="1">
      <x:c r="A4" s="16" t="str">
        <x:v>Set</x:v>
      </x:c>
      <x:c r="B4" s="16" t="str">
        <x:v>Item</x:v>
      </x:c>
      <x:c r="C4" s="16" t="str">
        <x:v>Product calculation size mm</x:v>
      </x:c>
      <x:c r="D4" s="16" t="str">
        <x:v>Recommended EVA slot mm</x:v>
      </x:c>
      <x:c r="E4" s="16" t="str">
        <x:v>Note</x:v>
      </x:c>
    </x:row>
    <x:row r="5">
      <x:c r="A5" s="38" t="str">
        <x:v>WGS-001-3</x:v>
      </x:c>
      <x:c r="B5" s="38" t="str">
        <x:v>WP-102 Executive Dual-Head Metal Pen</x:v>
      </x:c>
      <x:c r="C5" s="38" t="str">
        <x:v>144 x 10 x 10</x:v>
      </x:c>
      <x:c r="D5" s="38" t="str">
        <x:v>150 x 16 x 12</x:v>
      </x:c>
      <x:c r="E5" s="38" t="str">
        <x:v>Confirmed by user</x:v>
      </x:c>
    </x:row>
    <x:row r="6">
      <x:c r="A6" s="38" t="str">
        <x:v>WGS-001-3</x:v>
      </x:c>
      <x:c r="B6" s="38" t="str">
        <x:v>WP-203 Executive Zinc Alloy Letter Opener</x:v>
      </x:c>
      <x:c r="C6" s="38" t="str">
        <x:v>230 x 28 x 15 est.</x:v>
      </x:c>
      <x:c r="D6" s="38" t="str">
        <x:v>240 x 28 x 16</x:v>
      </x:c>
      <x:c r="E6" s="38" t="str">
        <x:v>Thickness uses 15mm estimate</x:v>
      </x:c>
    </x:row>
    <x:row r="7">
      <x:c r="A7" s="38" t="str">
        <x:v>WGS-001-3</x:v>
      </x:c>
      <x:c r="B7" s="38" t="str">
        <x:v>WP-205 Precision Custom Metal Bookmark</x:v>
      </x:c>
      <x:c r="C7" s="38" t="str">
        <x:v>105 x 35 x 3 est.</x:v>
      </x:c>
      <x:c r="D7" s="38" t="str">
        <x:v>112 x 42 x 5</x:v>
      </x:c>
      <x:c r="E7" s="38" t="str">
        <x:v>User wrote 10.5mm x 35mm; interpreted as 105mm x 35mm</x:v>
      </x:c>
    </x:row>
    <x:row r="8">
      <x:c r="A8" s="38" t="str">
        <x:v>WGS-002-3</x:v>
      </x:c>
      <x:c r="B8" s="38" t="str">
        <x:v>WP-204 Propeller Spinning Letter Opener</x:v>
      </x:c>
      <x:c r="C8" s="38" t="str">
        <x:v>190 x 24.5 x 21</x:v>
      </x:c>
      <x:c r="D8" s="38" t="str">
        <x:v>200 x 34 x 23</x:v>
      </x:c>
      <x:c r="E8" s="38" t="str">
        <x:v>Confirmed by user</x:v>
      </x:c>
    </x:row>
    <x:row r="9">
      <x:c r="A9" s="38" t="str">
        <x:v>WGS-002-3</x:v>
      </x:c>
      <x:c r="B9" s="38" t="str">
        <x:v>WP-208 Precision Folding Aluminium Device Stand</x:v>
      </x:c>
      <x:c r="C9" s="38" t="str">
        <x:v>181.5 x 58 x 21</x:v>
      </x:c>
      <x:c r="D9" s="38" t="str">
        <x:v>192 x 68 x 24</x:v>
      </x:c>
      <x:c r="E9" s="38" t="str">
        <x:v>From user reference drawing</x:v>
      </x:c>
    </x:row>
    <x:row r="10">
      <x:c r="A10" s="38" t="str">
        <x:v>WGS-002-3</x:v>
      </x:c>
      <x:c r="B10" s="38" t="str">
        <x:v>WP-101 Brass Crown Bolt-Action Pen</x:v>
      </x:c>
      <x:c r="C10" s="38" t="str">
        <x:v>138 x 10 x 10</x:v>
      </x:c>
      <x:c r="D10" s="38" t="str">
        <x:v>146 x 18 x 13</x:v>
      </x:c>
      <x:c r="E10" s="38" t="str">
        <x:v>Confirmed by user</x:v>
      </x:c>
    </x:row>
    <x:row r="11">
      <x:c r="A11" s="38" t="str">
        <x:v>WGS-003-3</x:v>
      </x:c>
      <x:c r="B11" s="38" t="str">
        <x:v>WP-302 Industrial Brass Key Organizer</x:v>
      </x:c>
      <x:c r="C11" s="38" t="str">
        <x:v>87 x 28 x 8 est.</x:v>
      </x:c>
      <x:c r="D11" s="38" t="str">
        <x:v>96 x 38 x 10</x:v>
      </x:c>
      <x:c r="E11" s="38" t="str">
        <x:v>Width/thickness needs sample measurement</x:v>
      </x:c>
    </x:row>
    <x:row r="12">
      <x:c r="A12" s="38" t="str">
        <x:v>WGS-003-3</x:v>
      </x:c>
      <x:c r="B12" s="38" t="str">
        <x:v>WP-303 Industrial Stainless Steel Money Clip</x:v>
      </x:c>
      <x:c r="C12" s="38" t="str">
        <x:v>60 x 25 x 8 est.</x:v>
      </x:c>
      <x:c r="D12" s="38" t="str">
        <x:v>70 x 35 x 10</x:v>
      </x:c>
      <x:c r="E12" s="38" t="str">
        <x:v>Length/width estimated</x:v>
      </x:c>
    </x:row>
    <x:row r="13">
      <x:c r="A13" s="38" t="str">
        <x:v>WGS-003-3</x:v>
      </x:c>
      <x:c r="B13" s="38" t="str">
        <x:v>WP-304 Titanium Anti-Static EDC Comb</x:v>
      </x:c>
      <x:c r="C13" s="38" t="str">
        <x:v>100 x 35 x 3 est.</x:v>
      </x:c>
      <x:c r="D13" s="38" t="str">
        <x:v>110 x 45 x 6</x:v>
      </x:c>
      <x:c r="E13" s="38" t="str">
        <x:v>Width/thickness estimated</x:v>
      </x:c>
    </x:row>
    <x:row r="14">
      <x:c r="A14" s="38" t="str">
        <x:v>WGS-004-3</x:v>
      </x:c>
      <x:c r="B14" s="38" t="str">
        <x:v>WP-103 Tactical Stainless Steel Pen</x:v>
      </x:c>
      <x:c r="C14" s="38" t="str">
        <x:v>152 x 14 x 14</x:v>
      </x:c>
      <x:c r="D14" s="38" t="str">
        <x:v>162 x 22 x 16</x:v>
      </x:c>
      <x:c r="E14" s="38" t="str">
        <x:v>Project spec</x:v>
      </x:c>
    </x:row>
    <x:row r="15">
      <x:c r="A15" s="38" t="str">
        <x:v>WGS-004-3</x:v>
      </x:c>
      <x:c r="B15" s="38" t="str">
        <x:v>WP-305 Industrial Mini EDC Pry Bar</x:v>
      </x:c>
      <x:c r="C15" s="38" t="str">
        <x:v>70 x 20 x 6 est.</x:v>
      </x:c>
      <x:c r="D15" s="38" t="str">
        <x:v>80 x 30 x 8</x:v>
      </x:c>
      <x:c r="E15" s="38" t="str">
        <x:v>Width/thickness needs sample measurement</x:v>
      </x:c>
    </x:row>
    <x:row r="16">
      <x:c r="A16" s="38" t="str">
        <x:v>WGS-004-3</x:v>
      </x:c>
      <x:c r="B16" s="38" t="str">
        <x:v>WP-307 EDC Folding Metal Scissors</x:v>
      </x:c>
      <x:c r="C16" s="38" t="str">
        <x:v>90 x 25 x 12 est.</x:v>
      </x:c>
      <x:c r="D16" s="38" t="str">
        <x:v>100 x 35 x 14</x:v>
      </x:c>
      <x:c r="E16" s="38" t="str">
        <x:v>Folded size used for packaging</x:v>
      </x:c>
    </x:row>
    <x:row r="17">
      <x:c r="A17" s="38" t="str">
        <x:v>WGS-005-3</x:v>
      </x:c>
      <x:c r="B17" s="38" t="str">
        <x:v>WP-101 Brass Crown Bolt-Action Pen</x:v>
      </x:c>
      <x:c r="C17" s="38" t="str">
        <x:v>138 x 10 x 10</x:v>
      </x:c>
      <x:c r="D17" s="38" t="str">
        <x:v>146 x 18 x 13</x:v>
      </x:c>
      <x:c r="E17" s="38" t="str">
        <x:v>Same as WGS-002</x:v>
      </x:c>
    </x:row>
    <x:row r="18">
      <x:c r="A18" s="38" t="str">
        <x:v>WGS-005-3</x:v>
      </x:c>
      <x:c r="B18" s="38" t="str">
        <x:v>WP-402 Pure Titanium Capsule Bottle 150ml</x:v>
      </x:c>
      <x:c r="C18" s="38" t="str">
        <x:v>128 x 51 x 51</x:v>
      </x:c>
      <x:c r="D18" s="38" t="str">
        <x:v>138 x 62 x 55</x:v>
      </x:c>
      <x:c r="E18" s="38" t="str">
        <x:v>Project spec</x:v>
      </x:c>
    </x:row>
    <x:row r="19">
      <x:c r="A19" s="38" t="str">
        <x:v>WGS-005-3</x:v>
      </x:c>
      <x:c r="B19" s="38" t="str">
        <x:v>WP-308 Titanium EDC Keychain</x:v>
      </x:c>
      <x:c r="C19" s="38" t="str">
        <x:v>53 x 26 x 5</x:v>
      </x:c>
      <x:c r="D19" s="38" t="str">
        <x:v>63 x 36 x 8</x:v>
      </x:c>
      <x:c r="E19" s="38" t="str">
        <x:v>Project spec</x:v>
      </x:c>
    </x:row>
    <x:row r="20">
      <x:c r="A20" s="38" t="str">
        <x:v>WGS-006-3</x:v>
      </x:c>
      <x:c r="B20" s="38" t="str">
        <x:v>WP-301 RFID Aluminum Wallet &amp; Badge Holder</x:v>
      </x:c>
      <x:c r="C20" s="38" t="str">
        <x:v>95 x 60 x 10.5</x:v>
      </x:c>
      <x:c r="D20" s="38" t="str">
        <x:v>105 x 70 x 14</x:v>
      </x:c>
      <x:c r="E20" s="38" t="str">
        <x:v>Project spec</x:v>
      </x:c>
    </x:row>
    <x:row r="21">
      <x:c r="A21" s="38" t="str">
        <x:v>WGS-006-3</x:v>
      </x:c>
      <x:c r="B21" s="38" t="str">
        <x:v>WP-104 6-in-1 Precision Metal Tool Pen</x:v>
      </x:c>
      <x:c r="C21" s="38" t="str">
        <x:v>149 x 10 x 10</x:v>
      </x:c>
      <x:c r="D21" s="38" t="str">
        <x:v>158 x 18 x 13</x:v>
      </x:c>
      <x:c r="E21" s="38" t="str">
        <x:v>Project spec</x:v>
      </x:c>
    </x:row>
    <x:row r="22">
      <x:c r="A22" s="38" t="str">
        <x:v>WGS-006-3</x:v>
      </x:c>
      <x:c r="B22" s="38" t="str">
        <x:v>WP-202 Precision Aluminum Pen Holder</x:v>
      </x:c>
      <x:c r="C22" s="38" t="str">
        <x:v>100 x 100 x 80</x:v>
      </x:c>
      <x:c r="D22" s="38" t="str">
        <x:v>112 x 112 x 82</x:v>
      </x:c>
      <x:c r="E22" s="38" t="str">
        <x:v>Lay-flat vs semi-upright should be sampled</x:v>
      </x:c>
    </x:row>
    <x:row r="23">
      <x:c r="A23" s="38" t="str">
        <x:v>WGS-007-3</x:v>
      </x:c>
      <x:c r="B23" s="38" t="str">
        <x:v>WP-105 Artisan Brass Rollerball</x:v>
      </x:c>
      <x:c r="C23" s="38" t="str">
        <x:v>140 x 9 x 9</x:v>
      </x:c>
      <x:c r="D23" s="38" t="str">
        <x:v>150 x 18 x 12</x:v>
      </x:c>
      <x:c r="E23" s="38" t="str">
        <x:v>Product copy</x:v>
      </x:c>
    </x:row>
    <x:row r="24">
      <x:c r="A24" s="38" t="str">
        <x:v>WGS-007-3</x:v>
      </x:c>
      <x:c r="B24" s="38" t="str">
        <x:v>WP-206 Precision Kinetic Brass Spinning Top</x:v>
      </x:c>
      <x:c r="C24" s="38" t="str">
        <x:v>Dia. 40 x 40</x:v>
      </x:c>
      <x:c r="D24" s="38" t="str">
        <x:v>Dia. 48 x 42</x:v>
      </x:c>
      <x:c r="E24" s="38" t="str">
        <x:v>Uses standard 30g version</x:v>
      </x:c>
    </x:row>
    <x:row r="25">
      <x:c r="A25" s="38" t="str">
        <x:v>WGS-007-3</x:v>
      </x:c>
      <x:c r="B25" s="38" t="str">
        <x:v>WP-407 Double-Wall Stainless Steel Desk Cup</x:v>
      </x:c>
      <x:c r="C25" s="38" t="str">
        <x:v>98 x 82 x 82</x:v>
      </x:c>
      <x:c r="D25" s="38" t="str">
        <x:v>108 x 92 x 95</x:v>
      </x:c>
      <x:c r="E25" s="38" t="str">
        <x:v>Product copy</x:v>
      </x:c>
    </x:row>
    <x:row r="26">
      <x:c r="A26" s="38" t="str">
        <x:v>WGS-008-4</x:v>
      </x:c>
      <x:c r="B26" s="38" t="str">
        <x:v>WP-106 Solid Brass Ballpoint Pen</x:v>
      </x:c>
      <x:c r="C26" s="38" t="str">
        <x:v>156 x 7 x 7</x:v>
      </x:c>
      <x:c r="D26" s="38" t="str">
        <x:v>166 x 16 x 10</x:v>
      </x:c>
      <x:c r="E26" s="38" t="str">
        <x:v>Conflicting project record; 156mm used</x:v>
      </x:c>
    </x:row>
    <x:row r="27">
      <x:c r="A27" s="38" t="str">
        <x:v>WGS-008-4</x:v>
      </x:c>
      <x:c r="B27" s="38" t="str">
        <x:v>WP-408 Titanium Tea Infuser Business Cup</x:v>
      </x:c>
      <x:c r="C27" s="38" t="str">
        <x:v>210 x 65 x 65</x:v>
      </x:c>
      <x:c r="D27" s="38" t="str">
        <x:v>222 x 76 x 70</x:v>
      </x:c>
      <x:c r="E27" s="38" t="str">
        <x:v>Product copy</x:v>
      </x:c>
    </x:row>
    <x:row r="28">
      <x:c r="A28" s="38" t="str">
        <x:v>WGS-008-4</x:v>
      </x:c>
      <x:c r="B28" s="38" t="str">
        <x:v>WP-208 Precision Folding Aluminium Device Stand</x:v>
      </x:c>
      <x:c r="C28" s="38" t="str">
        <x:v>181.5 x 58 x 21</x:v>
      </x:c>
      <x:c r="D28" s="38" t="str">
        <x:v>192 x 68 x 24</x:v>
      </x:c>
      <x:c r="E28" s="38" t="str">
        <x:v>Same as WGS-002</x:v>
      </x:c>
    </x:row>
    <x:row r="29">
      <x:c r="A29" s="38" t="str">
        <x:v>WGS-008-4</x:v>
      </x:c>
      <x:c r="B29" s="38" t="str">
        <x:v>WP-309 Slim Push Stainless Steel Business Card Case</x:v>
      </x:c>
      <x:c r="C29" s="38" t="str">
        <x:v>103 x 60 x 10 est.</x:v>
      </x:c>
      <x:c r="D29" s="38" t="str">
        <x:v>114 x 70 x 14</x:v>
      </x:c>
      <x:c r="E29" s="38" t="str">
        <x:v>Thickness estimated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c284f1a74043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16.25" hidden="0" customWidth="1"/>
    <x:col min="4" max="4" width="10.630000114440918" hidden="0" customWidth="1"/>
    <x:col min="5" max="5" width="15.630000114440918" hidden="0" customWidth="1"/>
    <x:col min="6" max="6" width="10.630000114440918" hidden="0" customWidth="1"/>
    <x:col min="7" max="7" width="12.5" hidden="0" customWidth="1"/>
    <x:col min="8" max="8" width="13.75" hidden="0" customWidth="1"/>
    <x:col min="9" max="9" width="10.25" hidden="0" customWidth="1"/>
    <x:col min="10" max="10" width="10.25" hidden="0" customWidth="1"/>
    <x:col min="11" max="11" width="13.130000114440918" hidden="0" customWidth="1"/>
    <x:col min="12" max="12" width="13.130000114440918" hidden="0" customWidth="1"/>
  </x:cols>
  <x:sheetData>
    <x:row r="1" ht="25.5" customHeight="1">
      <x:c r="A1" s="4" t="str">
        <x:v>Flexible Export Carton Plan</x:v>
      </x:c>
      <x:c r="B1" s="4" t="str">
        <x:v>Flexible Export Carton Plan</x:v>
      </x:c>
      <x:c r="C1" s="4" t="str">
        <x:v>Flexible Export Carton Plan</x:v>
      </x:c>
      <x:c r="D1" s="4" t="str">
        <x:v>Flexible Export Carton Plan</x:v>
      </x:c>
      <x:c r="E1" s="4" t="str">
        <x:v>Flexible Export Carton Plan</x:v>
      </x:c>
      <x:c r="F1" s="4" t="str">
        <x:v>Flexible Export Carton Plan</x:v>
      </x:c>
      <x:c r="G1" s="4" t="str">
        <x:v>Flexible Export Carton Plan</x:v>
      </x:c>
      <x:c r="H1" s="4" t="str">
        <x:v>Flexible Export Carton Plan</x:v>
      </x:c>
      <x:c r="I1" s="4" t="str">
        <x:v>Flexible Export Carton Plan</x:v>
      </x:c>
      <x:c r="J1" s="4" t="str">
        <x:v>Flexible Export Carton Plan</x:v>
      </x:c>
      <x:c r="K1" s="4" t="str">
        <x:v>Flexible Export Carton Plan</x:v>
      </x:c>
      <x:c r="L1" s="4" t="str">
        <x:v>Flexible Export Carton Plan</x:v>
      </x:c>
    </x:row>
    <x:row r="2" ht="25.5" customHeight="1">
      <x:c r="A2" s="9" t="str">
        <x:v>Different carton sizes per set. Best for air/express, smaller mixed orders, and lower dimensional-weight waste.</x:v>
      </x:c>
      <x:c r="B2" s="9" t="str">
        <x:v>Different carton sizes per set. Best for air/express, smaller mixed orders, and lower dimensional-weight waste.</x:v>
      </x:c>
      <x:c r="C2" s="9" t="str">
        <x:v>Different carton sizes per set. Best for air/express, smaller mixed orders, and lower dimensional-weight waste.</x:v>
      </x:c>
      <x:c r="D2" s="9" t="str">
        <x:v>Different carton sizes per set. Best for air/express, smaller mixed orders, and lower dimensional-weight waste.</x:v>
      </x:c>
      <x:c r="E2" s="9" t="str">
        <x:v>Different carton sizes per set. Best for air/express, smaller mixed orders, and lower dimensional-weight waste.</x:v>
      </x:c>
      <x:c r="F2" s="9" t="str">
        <x:v>Different carton sizes per set. Best for air/express, smaller mixed orders, and lower dimensional-weight waste.</x:v>
      </x:c>
      <x:c r="G2" s="9" t="str">
        <x:v>Different carton sizes per set. Best for air/express, smaller mixed orders, and lower dimensional-weight waste.</x:v>
      </x:c>
      <x:c r="H2" s="9" t="str">
        <x:v>Different carton sizes per set. Best for air/express, smaller mixed orders, and lower dimensional-weight waste.</x:v>
      </x:c>
      <x:c r="I2" s="9" t="str">
        <x:v>Different carton sizes per set. Best for air/express, smaller mixed orders, and lower dimensional-weight waste.</x:v>
      </x:c>
      <x:c r="J2" s="9" t="str">
        <x:v>Different carton sizes per set. Best for air/express, smaller mixed orders, and lower dimensional-weight waste.</x:v>
      </x:c>
      <x:c r="K2" s="9" t="str">
        <x:v>Different carton sizes per set. Best for air/express, smaller mixed orders, and lower dimensional-weight waste.</x:v>
      </x:c>
      <x:c r="L2" s="9" t="str">
        <x:v>Different carton sizes per set. Best for air/express, smaller mixed orders, and lower dimensional-weight waste.</x:v>
      </x:c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25.5" customHeight="1">
      <x:c r="A4" s="16" t="str">
        <x:v>Set</x:v>
      </x:c>
      <x:c r="B4" s="16" t="str">
        <x:v>Gift box size mm</x:v>
      </x:c>
      <x:c r="C4" s="16" t="str">
        <x:v>Packing layout</x:v>
      </x:c>
      <x:c r="D4" s="16" t="str">
        <x:v>Sets/carton</x:v>
      </x:c>
      <x:c r="E4" s="16" t="str">
        <x:v>Carton size mm</x:v>
      </x:c>
      <x:c r="F4" s="16" t="str">
        <x:v>CBM/carton</x:v>
      </x:c>
      <x:c r="G4" s="16" t="str">
        <x:v>Dim weight /5000 kg</x:v>
      </x:c>
      <x:c r="H4" s="16" t="str">
        <x:v>Gross weight/carton</x:v>
      </x:c>
      <x:c r="I4" s="16" t="str">
        <x:v>Carton min $</x:v>
      </x:c>
      <x:c r="J4" s="16" t="str">
        <x:v>Carton max $</x:v>
      </x:c>
      <x:c r="K4" s="16" t="str">
        <x:v>Carton cost/set min $</x:v>
      </x:c>
      <x:c r="L4" s="16" t="str">
        <x:v>Carton cost/set max $</x:v>
      </x:c>
    </x:row>
    <x:row r="5">
      <x:c r="A5" s="38" t="str">
        <x:v>WGS-001-3</x:v>
      </x:c>
      <x:c r="B5" s="38" t="str">
        <x:v>285 x 165 x 40</x:v>
      </x:c>
      <x:c r="C5" s="38" t="str">
        <x:v>2 x 3 x 4 layers</x:v>
      </x:c>
      <x:c r="D5" s="38" t="n">
        <x:v>24</x:v>
      </x:c>
      <x:c r="E5" s="38" t="str">
        <x:v>610 x 520 x 180</x:v>
      </x:c>
      <x:c r="F5" s="46" t="n">
        <x:v>0.057</x:v>
      </x:c>
      <x:c r="G5" s="47" t="n">
        <x:v>11.4</x:v>
      </x:c>
      <x:c r="H5" s="38" t="str">
        <x:v>15-16kg</x:v>
      </x:c>
      <x:c r="I5" s="39" t="n">
        <x:v>1.3</x:v>
      </x:c>
      <x:c r="J5" s="39" t="n">
        <x:v>2.2</x:v>
      </x:c>
      <x:c r="K5" s="39" t="n">
        <x:v>0.05</x:v>
      </x:c>
      <x:c r="L5" s="39" t="n">
        <x:v>0.09</x:v>
      </x:c>
    </x:row>
    <x:row r="6">
      <x:c r="A6" s="38" t="str">
        <x:v>WGS-002-3</x:v>
      </x:c>
      <x:c r="B6" s="38" t="str">
        <x:v>295 x 230 x 50</x:v>
      </x:c>
      <x:c r="C6" s="38" t="str">
        <x:v>2 x 2 x 3 layers</x:v>
      </x:c>
      <x:c r="D6" s="38" t="n">
        <x:v>12</x:v>
      </x:c>
      <x:c r="E6" s="38" t="str">
        <x:v>610 x 520 x 180</x:v>
      </x:c>
      <x:c r="F6" s="46" t="n">
        <x:v>0.057</x:v>
      </x:c>
      <x:c r="G6" s="47" t="n">
        <x:v>11.4</x:v>
      </x:c>
      <x:c r="H6" s="38" t="str">
        <x:v>13-14.5kg</x:v>
      </x:c>
      <x:c r="I6" s="39" t="n">
        <x:v>1.3</x:v>
      </x:c>
      <x:c r="J6" s="39" t="n">
        <x:v>2.2</x:v>
      </x:c>
      <x:c r="K6" s="39" t="n">
        <x:v>0.11</x:v>
      </x:c>
      <x:c r="L6" s="39" t="n">
        <x:v>0.18</x:v>
      </x:c>
    </x:row>
    <x:row r="7">
      <x:c r="A7" s="38" t="str">
        <x:v>WGS-003-3</x:v>
      </x:c>
      <x:c r="B7" s="38" t="str">
        <x:v>200 x 190 x 38</x:v>
      </x:c>
      <x:c r="C7" s="38" t="str">
        <x:v>3 x 2 x 4 layers</x:v>
      </x:c>
      <x:c r="D7" s="38" t="n">
        <x:v>24</x:v>
      </x:c>
      <x:c r="E7" s="38" t="str">
        <x:v>610 x 420 x 180</x:v>
      </x:c>
      <x:c r="F7" s="46" t="n">
        <x:v>0.046</x:v>
      </x:c>
      <x:c r="G7" s="47" t="n">
        <x:v>9.2</x:v>
      </x:c>
      <x:c r="H7" s="38" t="str">
        <x:v>11-13kg</x:v>
      </x:c>
      <x:c r="I7" s="39" t="n">
        <x:v>1.1</x:v>
      </x:c>
      <x:c r="J7" s="39" t="n">
        <x:v>1.8</x:v>
      </x:c>
      <x:c r="K7" s="39" t="n">
        <x:v>0.05</x:v>
      </x:c>
      <x:c r="L7" s="39" t="n">
        <x:v>0.08</x:v>
      </x:c>
    </x:row>
    <x:row r="8">
      <x:c r="A8" s="38" t="str">
        <x:v>WGS-004-3</x:v>
      </x:c>
      <x:c r="B8" s="38" t="str">
        <x:v>240 x 180 x 45</x:v>
      </x:c>
      <x:c r="C8" s="38" t="str">
        <x:v>3 x 2 x 4 layers</x:v>
      </x:c>
      <x:c r="D8" s="38" t="n">
        <x:v>24</x:v>
      </x:c>
      <x:c r="E8" s="38" t="str">
        <x:v>610 x 520 x 210</x:v>
      </x:c>
      <x:c r="F8" s="46" t="n">
        <x:v>0.067</x:v>
      </x:c>
      <x:c r="G8" s="47" t="n">
        <x:v>13.3</x:v>
      </x:c>
      <x:c r="H8" s="38" t="str">
        <x:v>14-16.5kg</x:v>
      </x:c>
      <x:c r="I8" s="39" t="n">
        <x:v>1.4</x:v>
      </x:c>
      <x:c r="J8" s="39" t="n">
        <x:v>2.4</x:v>
      </x:c>
      <x:c r="K8" s="39" t="n">
        <x:v>0.06</x:v>
      </x:c>
      <x:c r="L8" s="39" t="n">
        <x:v>0.1</x:v>
      </x:c>
    </x:row>
    <x:row r="9">
      <x:c r="A9" s="38" t="str">
        <x:v>WGS-005-3</x:v>
      </x:c>
      <x:c r="B9" s="38" t="str">
        <x:v>255 x 205 x 75</x:v>
      </x:c>
      <x:c r="C9" s="38" t="str">
        <x:v>2 x 2 x 3 layers</x:v>
      </x:c>
      <x:c r="D9" s="38" t="n">
        <x:v>12</x:v>
      </x:c>
      <x:c r="E9" s="38" t="str">
        <x:v>540 x 440 x 250</x:v>
      </x:c>
      <x:c r="F9" s="46" t="n">
        <x:v>0.059</x:v>
      </x:c>
      <x:c r="G9" s="47" t="n">
        <x:v>11.9</x:v>
      </x:c>
      <x:c r="H9" s="38" t="str">
        <x:v>11.5-13kg</x:v>
      </x:c>
      <x:c r="I9" s="39" t="n">
        <x:v>1.4</x:v>
      </x:c>
      <x:c r="J9" s="39" t="n">
        <x:v>2.3</x:v>
      </x:c>
      <x:c r="K9" s="39" t="n">
        <x:v>0.12</x:v>
      </x:c>
      <x:c r="L9" s="39" t="n">
        <x:v>0.19</x:v>
      </x:c>
    </x:row>
    <x:row r="10">
      <x:c r="A10" s="38" t="str">
        <x:v>WGS-006-3</x:v>
      </x:c>
      <x:c r="B10" s="38" t="str">
        <x:v>330 x 230 x 105</x:v>
      </x:c>
      <x:c r="C10" s="38" t="str">
        <x:v>1 x 2 x 3 layers</x:v>
      </x:c>
      <x:c r="D10" s="38" t="n">
        <x:v>6</x:v>
      </x:c>
      <x:c r="E10" s="38" t="str">
        <x:v>480 x 360 x 340</x:v>
      </x:c>
      <x:c r="F10" s="46" t="n">
        <x:v>0.059</x:v>
      </x:c>
      <x:c r="G10" s="47" t="n">
        <x:v>11.8</x:v>
      </x:c>
      <x:c r="H10" s="38" t="str">
        <x:v>12-14.5kg</x:v>
      </x:c>
      <x:c r="I10" s="39" t="n">
        <x:v>1.6</x:v>
      </x:c>
      <x:c r="J10" s="39" t="n">
        <x:v>2.6</x:v>
      </x:c>
      <x:c r="K10" s="39" t="n">
        <x:v>0.27</x:v>
      </x:c>
      <x:c r="L10" s="39" t="n">
        <x:v>0.43</x:v>
      </x:c>
    </x:row>
    <x:row r="11">
      <x:c r="A11" s="38" t="str">
        <x:v>WGS-007-3</x:v>
      </x:c>
      <x:c r="B11" s="38" t="str">
        <x:v>280 x 230 x 115</x:v>
      </x:c>
      <x:c r="C11" s="38" t="str">
        <x:v>2 x 2 x 2 layers</x:v>
      </x:c>
      <x:c r="D11" s="38" t="n">
        <x:v>8</x:v>
      </x:c>
      <x:c r="E11" s="38" t="str">
        <x:v>590 x 490 x 255</x:v>
      </x:c>
      <x:c r="F11" s="46" t="n">
        <x:v>0.074</x:v>
      </x:c>
      <x:c r="G11" s="47" t="n">
        <x:v>14.7</x:v>
      </x:c>
      <x:c r="H11" s="38" t="str">
        <x:v>13-15.5kg</x:v>
      </x:c>
      <x:c r="I11" s="39" t="n">
        <x:v>1.7</x:v>
      </x:c>
      <x:c r="J11" s="39" t="n">
        <x:v>2.8</x:v>
      </x:c>
      <x:c r="K11" s="39" t="n">
        <x:v>0.21</x:v>
      </x:c>
      <x:c r="L11" s="39" t="n">
        <x:v>0.35</x:v>
      </x:c>
    </x:row>
    <x:row r="12">
      <x:c r="A12" s="38" t="str">
        <x:v>WGS-008-4</x:v>
      </x:c>
      <x:c r="B12" s="38" t="str">
        <x:v>360 x 290 x 90</x:v>
      </x:c>
      <x:c r="C12" s="38" t="str">
        <x:v>1 x 2 x 3 layers</x:v>
      </x:c>
      <x:c r="D12" s="38" t="n">
        <x:v>6</x:v>
      </x:c>
      <x:c r="E12" s="38" t="str">
        <x:v>610 x 390 x 300</x:v>
      </x:c>
      <x:c r="F12" s="46" t="n">
        <x:v>0.071</x:v>
      </x:c>
      <x:c r="G12" s="47" t="n">
        <x:v>14.3</x:v>
      </x:c>
      <x:c r="H12" s="38" t="str">
        <x:v>13.5-15.5kg</x:v>
      </x:c>
      <x:c r="I12" s="39" t="n">
        <x:v>1.8</x:v>
      </x:c>
      <x:c r="J12" s="39" t="n">
        <x:v>3</x:v>
      </x:c>
      <x:c r="K12" s="39" t="n">
        <x:v>0.3</x:v>
      </x:c>
      <x:c r="L12" s="39" t="n">
        <x:v>0.5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175367c208844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4.380000114440918" hidden="0" customWidth="1"/>
    <x:col min="3" max="3" width="16.8799991607666" hidden="0" customWidth="1"/>
    <x:col min="4" max="4" width="15.630000114440918" hidden="0" customWidth="1"/>
    <x:col min="5" max="5" width="15" hidden="0" customWidth="1"/>
    <x:col min="6" max="6" width="45" hidden="0" customWidth="1"/>
  </x:cols>
  <x:sheetData>
    <x:row r="1" ht="25.5" customHeight="1">
      <x:c r="A1" s="4" t="str">
        <x:v>Unified Export Carton Plan</x:v>
      </x:c>
      <x:c r="B1" s="4" t="str">
        <x:v>Unified Export Carton Plan</x:v>
      </x:c>
      <x:c r="C1" s="4" t="str">
        <x:v>Unified Export Carton Plan</x:v>
      </x:c>
      <x:c r="D1" s="4" t="str">
        <x:v>Unified Export Carton Plan</x:v>
      </x:c>
      <x:c r="E1" s="4" t="str">
        <x:v>Unified Export Carton Plan</x:v>
      </x:c>
      <x:c r="F1" s="4" t="str">
        <x:v>Unified Export Carton Plan</x:v>
      </x:c>
    </x:row>
    <x:row r="2" ht="25.5" customHeight="1">
      <x:c r="A2" s="9" t="str">
        <x:v>One carton size: 610 x 520 x 340mm. CBM: 0.108. Dimensional weight: about 21.6kg by /5000.</x:v>
      </x:c>
      <x:c r="B2" s="9" t="str">
        <x:v>One carton size: 610 x 520 x 340mm. CBM: 0.108. Dimensional weight: about 21.6kg by /5000.</x:v>
      </x:c>
      <x:c r="C2" s="9" t="str">
        <x:v>One carton size: 610 x 520 x 340mm. CBM: 0.108. Dimensional weight: about 21.6kg by /5000.</x:v>
      </x:c>
      <x:c r="D2" s="9" t="str">
        <x:v>One carton size: 610 x 520 x 340mm. CBM: 0.108. Dimensional weight: about 21.6kg by /5000.</x:v>
      </x:c>
      <x:c r="E2" s="9" t="str">
        <x:v>One carton size: 610 x 520 x 340mm. CBM: 0.108. Dimensional weight: about 21.6kg by /5000.</x:v>
      </x:c>
      <x:c r="F2" s="9" t="str">
        <x:v>One carton size: 610 x 520 x 340mm. CBM: 0.108. Dimensional weight: about 21.6kg by /5000.</x:v>
      </x:c>
    </x:row>
    <x:row r="3">
      <x:c r="A3" s="37"/>
      <x:c r="B3" s="37"/>
      <x:c r="C3" s="37"/>
      <x:c r="D3" s="37"/>
      <x:c r="E3" s="37"/>
      <x:c r="F3" s="37"/>
    </x:row>
    <x:row r="4" ht="25.5" customHeight="1">
      <x:c r="A4" s="16" t="str">
        <x:v>Set</x:v>
      </x:c>
      <x:c r="B4" s="16" t="str">
        <x:v>Suggested sets/carton</x:v>
      </x:c>
      <x:c r="C4" s="16" t="str">
        <x:v>Practical layout</x:v>
      </x:c>
      <x:c r="D4" s="16" t="str">
        <x:v>Estimated gross weight</x:v>
      </x:c>
      <x:c r="E4" s="16" t="str">
        <x:v>Space utilization</x:v>
      </x:c>
      <x:c r="F4" s="16" t="str">
        <x:v>Notes</x:v>
      </x:c>
    </x:row>
    <x:row r="5">
      <x:c r="A5" s="38" t="str">
        <x:v>WGS-001-3</x:v>
      </x:c>
      <x:c r="B5" s="38" t="n">
        <x:v>30</x:v>
      </x:c>
      <x:c r="C5" s="38" t="str">
        <x:v>2 x 3 x 5 layers</x:v>
      </x:c>
      <x:c r="D5" s="38" t="str">
        <x:v>18-20kg</x:v>
      </x:c>
      <x:c r="E5" s="38" t="str">
        <x:v>Medium</x:v>
      </x:c>
      <x:c r="F5" s="38" t="str">
        <x:v>Good weight ceiling; more could fit by volume but not recommended by weight</x:v>
      </x:c>
    </x:row>
    <x:row r="6">
      <x:c r="A6" s="38" t="str">
        <x:v>WGS-002-3</x:v>
      </x:c>
      <x:c r="B6" s="38" t="n">
        <x:v>16</x:v>
      </x:c>
      <x:c r="C6" s="38" t="str">
        <x:v>2 x 2 x 4 layers</x:v>
      </x:c>
      <x:c r="D6" s="38" t="str">
        <x:v>16-18kg</x:v>
      </x:c>
      <x:c r="E6" s="38" t="str">
        <x:v>Medium</x:v>
      </x:c>
      <x:c r="F6" s="38" t="str">
        <x:v>Needs void fill above/around boxes</x:v>
      </x:c>
    </x:row>
    <x:row r="7">
      <x:c r="A7" s="38" t="str">
        <x:v>WGS-003-3</x:v>
      </x:c>
      <x:c r="B7" s="38" t="n">
        <x:v>36</x:v>
      </x:c>
      <x:c r="C7" s="38" t="str">
        <x:v>3 x 2 x 6 layers</x:v>
      </x:c>
      <x:c r="D7" s="38" t="str">
        <x:v>17-20kg</x:v>
      </x:c>
      <x:c r="E7" s="38" t="str">
        <x:v>Medium</x:v>
      </x:c>
      <x:c r="F7" s="38" t="str">
        <x:v>Good for sea freight; volume waste remains acceptable</x:v>
      </x:c>
    </x:row>
    <x:row r="8">
      <x:c r="A8" s="38" t="str">
        <x:v>WGS-004-3</x:v>
      </x:c>
      <x:c r="B8" s="38" t="n">
        <x:v>28</x:v>
      </x:c>
      <x:c r="C8" s="38" t="str">
        <x:v>2 x 2 x 7 layers</x:v>
      </x:c>
      <x:c r="D8" s="38" t="str">
        <x:v>17-19.5kg</x:v>
      </x:c>
      <x:c r="E8" s="38" t="str">
        <x:v>Medium-low</x:v>
      </x:c>
      <x:c r="F8" s="38" t="str">
        <x:v>28 sets is safer than 30 after clearance</x:v>
      </x:c>
    </x:row>
    <x:row r="9">
      <x:c r="A9" s="38" t="str">
        <x:v>WGS-005-3</x:v>
      </x:c>
      <x:c r="B9" s="38" t="n">
        <x:v>16</x:v>
      </x:c>
      <x:c r="C9" s="38" t="str">
        <x:v>2 x 2 x 4 layers</x:v>
      </x:c>
      <x:c r="D9" s="38" t="str">
        <x:v>15-18kg</x:v>
      </x:c>
      <x:c r="E9" s="38" t="str">
        <x:v>Good</x:v>
      </x:c>
      <x:c r="F9" s="38" t="str">
        <x:v>Good fit and reasonable carton count</x:v>
      </x:c>
    </x:row>
    <x:row r="10">
      <x:c r="A10" s="38" t="str">
        <x:v>WGS-006-3</x:v>
      </x:c>
      <x:c r="B10" s="38" t="n">
        <x:v>6</x:v>
      </x:c>
      <x:c r="C10" s="38" t="str">
        <x:v>1 x 2 x 3 layers</x:v>
      </x:c>
      <x:c r="D10" s="38" t="str">
        <x:v>13-15kg</x:v>
      </x:c>
      <x:c r="E10" s="38" t="str">
        <x:v>Medium-low</x:v>
      </x:c>
      <x:c r="F10" s="38" t="str">
        <x:v>Limited by gift box height</x:v>
      </x:c>
    </x:row>
    <x:row r="11">
      <x:c r="A11" s="38" t="str">
        <x:v>WGS-007-3</x:v>
      </x:c>
      <x:c r="B11" s="38" t="n">
        <x:v>8</x:v>
      </x:c>
      <x:c r="C11" s="38" t="str">
        <x:v>2 x 2 x 2 layers</x:v>
      </x:c>
      <x:c r="D11" s="38" t="str">
        <x:v>14-16kg</x:v>
      </x:c>
      <x:c r="E11" s="38" t="str">
        <x:v>Medium</x:v>
      </x:c>
      <x:c r="F11" s="38" t="str">
        <x:v>Limited by cup height and gift box height</x:v>
      </x:c>
    </x:row>
    <x:row r="12">
      <x:c r="A12" s="38" t="str">
        <x:v>WGS-008-4</x:v>
      </x:c>
      <x:c r="B12" s="38" t="n">
        <x:v>6</x:v>
      </x:c>
      <x:c r="C12" s="38" t="str">
        <x:v>1 x 2 x 3 layers</x:v>
      </x:c>
      <x:c r="D12" s="38" t="str">
        <x:v>14-16kg</x:v>
      </x:c>
      <x:c r="E12" s="38" t="str">
        <x:v>Medium</x:v>
      </x:c>
      <x:c r="F12" s="38" t="str">
        <x:v>Good protective space, but high dimensional weight</x:v>
      </x:c>
    </x:row>
    <x:row r="13">
      <x:c r="A13" s="37"/>
      <x:c r="B13" s="37"/>
      <x:c r="C13" s="37"/>
      <x:c r="D13" s="37"/>
      <x:c r="E13" s="37"/>
      <x:c r="F13" s="37"/>
    </x:row>
    <x:row r="14">
      <x:c r="A14" s="37"/>
      <x:c r="B14" s="37"/>
      <x:c r="C14" s="37"/>
      <x:c r="D14" s="37"/>
      <x:c r="E14" s="37"/>
      <x:c r="F14" s="37"/>
    </x:row>
    <x:row r="15">
      <x:c r="A15" s="48" t="str">
        <x:v>Tiered carton alternative</x:v>
      </x:c>
      <x:c r="B15" s="48" t="str">
        <x:v>Tiered carton alternative</x:v>
      </x:c>
      <x:c r="C15" s="48" t="str">
        <x:v>Tiered carton alternative</x:v>
      </x:c>
      <x:c r="D15" s="48" t="str">
        <x:v>Tiered carton alternative</x:v>
      </x:c>
      <x:c r="E15" s="37"/>
      <x:c r="F15" s="37"/>
    </x:row>
    <x:row r="16" ht="25.5" customHeight="1">
      <x:c r="A16" s="16" t="str">
        <x:v>Carton tier</x:v>
      </x:c>
      <x:c r="B16" s="16" t="str">
        <x:v>Size mm</x:v>
      </x:c>
      <x:c r="C16" s="16" t="str">
        <x:v>Recommended sets</x:v>
      </x:c>
      <x:c r="D16" s="16" t="str">
        <x:v>Why</x:v>
      </x:c>
      <x:c r="E16" s="37"/>
      <x:c r="F16" s="37"/>
    </x:row>
    <x:row r="17">
      <x:c r="A17" s="38" t="str">
        <x:v>Flat / Standard</x:v>
      </x:c>
      <x:c r="B17" s="38" t="str">
        <x:v>610 x 520 x 210</x:v>
      </x:c>
      <x:c r="C17" s="38" t="str">
        <x:v>WGS-001 / WGS-002 / WGS-003 / WGS-004</x:v>
      </x:c>
      <x:c r="D17" s="38" t="str">
        <x:v>Keeps thin sets from paying too much volumetric weight</x:v>
      </x:c>
      <x:c r="E17" s="37"/>
      <x:c r="F17" s="37"/>
    </x:row>
    <x:row r="18">
      <x:c r="A18" s="38" t="str">
        <x:v>Medium Deep</x:v>
      </x:c>
      <x:c r="B18" s="38" t="str">
        <x:v>610 x 520 x 260</x:v>
      </x:c>
      <x:c r="C18" s="38" t="str">
        <x:v>WGS-005 / WGS-007</x:v>
      </x:c>
      <x:c r="D18" s="38" t="str">
        <x:v>Handles bottle/cup-height sets without using the tallest carton</x:v>
      </x:c>
      <x:c r="E18" s="37"/>
      <x:c r="F18" s="37"/>
    </x:row>
    <x:row r="19">
      <x:c r="A19" s="38" t="str">
        <x:v>Tall / Large</x:v>
      </x:c>
      <x:c r="B19" s="38" t="str">
        <x:v>610 x 520 x 340</x:v>
      </x:c>
      <x:c r="C19" s="38" t="str">
        <x:v>WGS-006 / WGS-008</x:v>
      </x:c>
      <x:c r="D19" s="38" t="str">
        <x:v>Needed for the thick pen holder set and large four-piece set</x:v>
      </x:c>
      <x:c r="E19" s="37"/>
      <x:c r="F19" s="37"/>
    </x:row>
  </x:sheetData>
  <x:mergeCells>
    <x:mergeCell ref="A1:F1"/>
    <x:mergeCell ref="A2:F2"/>
    <x:mergeCell ref="A15:D15"/>
  </x:mergeCells>
  <x:pageMargins left="0.7" right="0.7" top="0.75" bottom="0.75" header="0.3" footer="0.3"/>
  <x:tableParts count="2">
    <x:tablePart xmlns:r="http://schemas.openxmlformats.org/officeDocument/2006/relationships" r:id="Refe5d5dc6c4845ea"/>
    <x:tablePart xmlns:r="http://schemas.openxmlformats.org/officeDocument/2006/relationships" r:id="R18fcd054b9c645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42.5" hidden="0" customWidth="1"/>
    <x:col min="3" max="3" width="32.5" hidden="0" customWidth="1"/>
    <x:col min="4" max="4" width="35" hidden="0" customWidth="1"/>
  </x:cols>
  <x:sheetData>
    <x:row r="1" ht="25.5" customHeight="1">
      <x:c r="A1" s="4" t="str">
        <x:v>Assumptions, Sources, and Supplier RFQ Checklist</x:v>
      </x:c>
      <x:c r="B1" s="4" t="str">
        <x:v>Assumptions, Sources, and Supplier RFQ Checklist</x:v>
      </x:c>
      <x:c r="C1" s="4" t="str">
        <x:v>Assumptions, Sources, and Supplier RFQ Checklist</x:v>
      </x:c>
      <x:c r="D1" s="4" t="str">
        <x:v>Assumptions, Sources, and Supplier RFQ Checklist</x:v>
      </x:c>
    </x:row>
    <x:row r="2" ht="25.5" customHeight="1">
      <x:c r="A2" s="9" t="str">
        <x:v>Use this sheet when sending quotation requests to packaging factories.</x:v>
      </x:c>
      <x:c r="B2" s="9" t="str">
        <x:v>Use this sheet when sending quotation requests to packaging factories.</x:v>
      </x:c>
      <x:c r="C2" s="9" t="str">
        <x:v>Use this sheet when sending quotation requests to packaging factories.</x:v>
      </x:c>
      <x:c r="D2" s="9" t="str">
        <x:v>Use this sheet when sending quotation requests to packaging factories.</x:v>
      </x:c>
    </x:row>
    <x:row r="3">
      <x:c r="A3" s="37"/>
      <x:c r="B3" s="37"/>
      <x:c r="C3" s="37"/>
      <x:c r="D3" s="37"/>
    </x:row>
    <x:row r="4" ht="25.5" customHeight="1">
      <x:c r="A4" s="16" t="str">
        <x:v>Topic</x:v>
      </x:c>
      <x:c r="B4" s="16" t="str">
        <x:v>Detail</x:v>
      </x:c>
      <x:c r="C4" s="16" t="str">
        <x:v>Impact</x:v>
      </x:c>
      <x:c r="D4" s="16" t="str">
        <x:v>Action</x:v>
      </x:c>
    </x:row>
    <x:row r="5">
      <x:c r="A5" s="38" t="str">
        <x:v>Currency</x:v>
      </x:c>
      <x:c r="B5" s="38" t="str">
        <x:v>USD. Quick RMB estimate can multiply by about 7.2.</x:v>
      </x:c>
      <x:c r="C5" s="38" t="str">
        <x:v>Exchange rate may change.</x:v>
      </x:c>
      <x:c r="D5" s="38" t="str">
        <x:v>Use actual rate at PO confirmation.</x:v>
      </x:c>
    </x:row>
    <x:row r="6">
      <x:c r="A6" s="38" t="str">
        <x:v>Gift box</x:v>
      </x:c>
      <x:c r="B6" s="38" t="str">
        <x:v>Custom black rigid box with Wischos branding.</x:v>
      </x:c>
      <x:c r="C6" s="38" t="str">
        <x:v>Foil/deboss/UV affects unit price.</x:v>
      </x:c>
      <x:c r="D6" s="38" t="str">
        <x:v>Ask supplier to quote process separately.</x:v>
      </x:c>
    </x:row>
    <x:row r="7">
      <x:c r="A7" s="38" t="str">
        <x:v>EVA</x:v>
      </x:c>
      <x:c r="B7" s="38" t="str">
        <x:v>Black flocked EVA, 38-45 kg/m3.</x:v>
      </x:c>
      <x:c r="C7" s="38" t="str">
        <x:v>Density and flocking affect cost and protection.</x:v>
      </x:c>
      <x:c r="D7" s="38" t="str">
        <x:v>Confirm density and sample compression.</x:v>
      </x:c>
    </x:row>
    <x:row r="8">
      <x:c r="A8" s="38" t="str">
        <x:v>Tooling</x:v>
      </x:c>
      <x:c r="B8" s="38" t="str">
        <x:v>EVA tooling/mold fee kept separate.</x:v>
      </x:c>
      <x:c r="C8" s="38" t="str">
        <x:v>Tooling may be refundable after bulk order.</x:v>
      </x:c>
      <x:c r="D8" s="38" t="str">
        <x:v>Ask refund threshold and ownership.</x:v>
      </x:c>
    </x:row>
    <x:row r="9">
      <x:c r="A9" s="38" t="str">
        <x:v>Carton</x:v>
      </x:c>
      <x:c r="B9" s="38" t="str">
        <x:v>5-layer corrugated export carton assumed.</x:v>
      </x:c>
      <x:c r="C9" s="38" t="str">
        <x:v>ECT/bursting strength affects price.</x:v>
      </x:c>
      <x:c r="D9" s="38" t="str">
        <x:v>Confirm carton mark and gross weight limit.</x:v>
      </x:c>
    </x:row>
    <x:row r="10">
      <x:c r="A10" s="38" t="str">
        <x:v>MOQ</x:v>
      </x:c>
      <x:c r="B10" s="38" t="str">
        <x:v>Prices vary sharply by 500 / 1,000 / 3,000 sets.</x:v>
      </x:c>
      <x:c r="C10" s="38" t="str">
        <x:v>Small orders pay higher unit box price.</x:v>
      </x:c>
      <x:c r="D10" s="38" t="str">
        <x:v>Request all three breaks.</x:v>
      </x:c>
    </x:row>
    <x:row r="11">
      <x:c r="A11" s="38" t="str">
        <x:v>Air freight</x:v>
      </x:c>
      <x:c r="B11" s="38" t="str">
        <x:v>Flexible carton plan is more efficient.</x:v>
      </x:c>
      <x:c r="C11" s="38" t="str">
        <x:v>Lower dimensional-weight waste.</x:v>
      </x:c>
      <x:c r="D11" s="38" t="str">
        <x:v>Use flexible or tiered carton plan.</x:v>
      </x:c>
    </x:row>
    <x:row r="12">
      <x:c r="A12" s="38" t="str">
        <x:v>Sea freight</x:v>
      </x:c>
      <x:c r="B12" s="38" t="str">
        <x:v>Unified carton is acceptable.</x:v>
      </x:c>
      <x:c r="C12" s="38" t="str">
        <x:v>Warehouse handling is simpler.</x:v>
      </x:c>
      <x:c r="D12" s="38" t="str">
        <x:v>Use only when volume waste is acceptable.</x:v>
      </x:c>
    </x:row>
    <x:row r="13">
      <x:c r="A13" s="38" t="str">
        <x:v>Sample check</x:v>
      </x:c>
      <x:c r="B13" s="38" t="str">
        <x:v>Measure product size and packed gross weight.</x:v>
      </x:c>
      <x:c r="C13" s="38" t="str">
        <x:v>Avoid wrong EVA tooling.</x:v>
      </x:c>
      <x:c r="D13" s="38" t="str">
        <x:v>Confirm before mass production.</x:v>
      </x:c>
    </x:row>
    <x:row r="14">
      <x:c r="A14" s="38" t="str">
        <x:v>Quote buffer</x:v>
      </x:c>
      <x:c r="B14" s="38" t="str">
        <x:v>Add 8-12% until physical samples are confirmed.</x:v>
      </x:c>
      <x:c r="C14" s="38" t="str">
        <x:v>Protects against material/process drift.</x:v>
      </x:c>
      <x:c r="D14" s="38" t="str">
        <x:v>Remove buffer after final supplier quote.</x:v>
      </x:c>
    </x:row>
    <x:row r="15">
      <x:c r="A15" s="37"/>
      <x:c r="B15" s="37"/>
      <x:c r="C15" s="37"/>
      <x:c r="D15" s="37"/>
    </x:row>
    <x:row r="16">
      <x:c r="A16" s="37"/>
      <x:c r="B16" s="37"/>
      <x:c r="C16" s="37"/>
      <x:c r="D16" s="37"/>
    </x:row>
    <x:row r="17" ht="25.5" customHeight="1">
      <x:c r="A17" s="16" t="str">
        <x:v>Source</x:v>
      </x:c>
      <x:c r="B17" s="16" t="str">
        <x:v>URL</x:v>
      </x:c>
      <x:c r="C17" s="16" t="str">
        <x:v>Use in estimate</x:v>
      </x:c>
      <x:c r="D17" s="37"/>
    </x:row>
    <x:row r="18">
      <x:c r="A18" s="38" t="str">
        <x:v>Made-in-China magnetic gift box</x:v>
      </x:c>
      <x:c r="B18" s="49" t="str">
        <x:v>https://www.made-in-china.com/products-search/hot-china-products/Magnetic_Gift_Box.html</x:v>
      </x:c>
      <x:c r="C18" s="38" t="str">
        <x:v>Broad listing ranges; low lead-in prices require MOQ/material confirmation</x:v>
      </x:c>
      <x:c r="D18" s="37"/>
    </x:row>
    <x:row r="19">
      <x:c r="A19" s="38" t="str">
        <x:v>Made-in-China EVA foam</x:v>
      </x:c>
      <x:c r="B19" s="49" t="str">
        <x:v>https://www.made-in-china.com/products-search/hot-china-products/EVA_Foam.html</x:v>
      </x:c>
      <x:c r="C19" s="38" t="str">
        <x:v>Used as China supplier material/custom foam benchmark</x:v>
      </x:c>
      <x:c r="D19" s="37"/>
    </x:row>
    <x:row r="20">
      <x:c r="A20" s="38" t="str">
        <x:v>Made-in-China corrugated carton</x:v>
      </x:c>
      <x:c r="B20" s="49" t="str">
        <x:v>https://www.made-in-china.com/products-search/hot-china-products/Corrugated_Carton_Box.html</x:v>
      </x:c>
      <x:c r="C20" s="38" t="str">
        <x:v>Used as China supplier carton benchmark</x:v>
      </x:c>
      <x:c r="D20" s="37"/>
    </x:row>
    <x:row r="21">
      <x:c r="A21" s="38" t="str">
        <x:v>Uline magnetic gift boxes</x:v>
      </x:c>
      <x:c r="B21" s="49" t="str">
        <x:v>https://www.uline.com/BL_3337/Magnetic-Gift-Boxes</x:v>
      </x:c>
      <x:c r="C21" s="38" t="str">
        <x:v>US stock-packaging benchmark; generally higher than China custom factory pricing</x:v>
      </x:c>
      <x:c r="D21" s="37"/>
    </x:row>
    <x:row r="22">
      <x:c r="A22" s="38" t="str">
        <x:v>Uline deluxe gift boxes</x:v>
      </x:c>
      <x:c r="B22" s="49" t="str">
        <x:v>https://www.uline.com/BL_5625/Deluxe-Gift-Boxes</x:v>
      </x:c>
      <x:c r="C22" s="38" t="str">
        <x:v>Rigid presentation box benchmark</x:v>
      </x:c>
      <x:c r="D22" s="37"/>
    </x:row>
    <x:row r="23">
      <x:c r="A23" s="38" t="str">
        <x:v>Uline plank foam</x:v>
      </x:c>
      <x:c r="B23" s="49" t="str">
        <x:v>https://www.uline.com/BL_868/Plank-Foam</x:v>
      </x:c>
      <x:c r="C23" s="38" t="str">
        <x:v>US foam sheet benchmark</x:v>
      </x:c>
      <x:c r="D23" s="37"/>
    </x:row>
    <x:row r="24">
      <x:c r="A24" s="38" t="str">
        <x:v>Uline corrugated cartons</x:v>
      </x:c>
      <x:c r="B24" s="49" t="str">
        <x:v>https://www.uline.com/Product/GuidedNav?R=20%3B1&amp;t=184360</x:v>
      </x:c>
      <x:c r="C24" s="38" t="str">
        <x:v>US corrugated carton benchmark</x:v>
      </x:c>
      <x:c r="D24" s="37"/>
    </x:row>
  </x:sheetData>
  <x:mergeCells>
    <x:mergeCell ref="A1:D1"/>
    <x:mergeCell ref="A2:D2"/>
  </x:mergeCells>
  <x:pageMargins left="0.7" right="0.7" top="0.75" bottom="0.75" header="0.3" footer="0.3"/>
</x:worksheet>
</file>